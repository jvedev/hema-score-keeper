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ol_1" sheetId="1" r:id="rId5"/>
    <sheet state="visible" name="Pool_2" sheetId="2" r:id="rId6"/>
    <sheet state="visible" name="Pool_3" sheetId="3" r:id="rId7"/>
    <sheet state="visible" name="Eliminations" sheetId="4" r:id="rId8"/>
    <sheet state="visible" name="Showcase" sheetId="5" r:id="rId9"/>
    <sheet state="visible" name="Results" sheetId="6" r:id="rId10"/>
  </sheets>
  <definedNames/>
  <calcPr/>
</workbook>
</file>

<file path=xl/sharedStrings.xml><?xml version="1.0" encoding="utf-8"?>
<sst xmlns="http://schemas.openxmlformats.org/spreadsheetml/2006/main" count="1626" uniqueCount="114">
  <si>
    <t>Match 1</t>
  </si>
  <si>
    <t>MATCHES</t>
  </si>
  <si>
    <t>Matches Lost</t>
  </si>
  <si>
    <t>Won</t>
  </si>
  <si>
    <t>Lost</t>
  </si>
  <si>
    <t>Total</t>
  </si>
  <si>
    <t>ORDER</t>
  </si>
  <si>
    <t>BY MATCHES</t>
  </si>
  <si>
    <t>Match 2</t>
  </si>
  <si>
    <t>Tim the Burgundy Enchanter</t>
  </si>
  <si>
    <t>Classify</t>
  </si>
  <si>
    <t>Match 3</t>
  </si>
  <si>
    <t>Eminence Bruin</t>
  </si>
  <si>
    <t>INPUT</t>
  </si>
  <si>
    <t>Match 4</t>
  </si>
  <si>
    <t>Teun</t>
  </si>
  <si>
    <t>TBC</t>
  </si>
  <si>
    <t>Match 5</t>
  </si>
  <si>
    <t>Ronald</t>
  </si>
  <si>
    <t>Diego</t>
  </si>
  <si>
    <t>Match 6</t>
  </si>
  <si>
    <t>Match 7</t>
  </si>
  <si>
    <t>Teake</t>
  </si>
  <si>
    <t>Match 8</t>
  </si>
  <si>
    <t>Matches Won</t>
  </si>
  <si>
    <t>Match 9</t>
  </si>
  <si>
    <t>Match 10</t>
  </si>
  <si>
    <t>Match 11</t>
  </si>
  <si>
    <t>Doubles</t>
  </si>
  <si>
    <t>BY POINTS</t>
  </si>
  <si>
    <t>Match 12</t>
  </si>
  <si>
    <t>Match 13</t>
  </si>
  <si>
    <t>Match 14</t>
  </si>
  <si>
    <t>Match 15</t>
  </si>
  <si>
    <t>POINTS</t>
  </si>
  <si>
    <t>Points Lost</t>
  </si>
  <si>
    <t>Exchange 1</t>
  </si>
  <si>
    <t>Exchange 2</t>
  </si>
  <si>
    <t>Exchange 3</t>
  </si>
  <si>
    <t>Exchange 4</t>
  </si>
  <si>
    <t>Exchange 5</t>
  </si>
  <si>
    <t>Points Won</t>
  </si>
  <si>
    <t>Exchange 6</t>
  </si>
  <si>
    <t>Exchange 7</t>
  </si>
  <si>
    <t>Exchange 8</t>
  </si>
  <si>
    <t>Exchange 9</t>
  </si>
  <si>
    <t>Exchange 10</t>
  </si>
  <si>
    <t>Exchange 11</t>
  </si>
  <si>
    <t>Exchange 12</t>
  </si>
  <si>
    <t>Exchange 13</t>
  </si>
  <si>
    <t>Exchange 14</t>
  </si>
  <si>
    <t>Exchange 15</t>
  </si>
  <si>
    <t>Won Points</t>
  </si>
  <si>
    <t>Won Match</t>
  </si>
  <si>
    <t>Jesse</t>
  </si>
  <si>
    <t>Rory</t>
  </si>
  <si>
    <t>Arjan</t>
  </si>
  <si>
    <t>Maarten</t>
  </si>
  <si>
    <t>Willem</t>
  </si>
  <si>
    <t>Eva</t>
  </si>
  <si>
    <t>Berend</t>
  </si>
  <si>
    <t>Tjeard</t>
  </si>
  <si>
    <t>Mittens</t>
  </si>
  <si>
    <t>Judith</t>
  </si>
  <si>
    <t>Frank</t>
  </si>
  <si>
    <t>Daniel</t>
  </si>
  <si>
    <t>Pool 1</t>
  </si>
  <si>
    <t>Pool 2</t>
  </si>
  <si>
    <t>Pool 3</t>
  </si>
  <si>
    <t>Bronze Scores</t>
  </si>
  <si>
    <t>Bronze Sorted</t>
  </si>
  <si>
    <t>Best Bronze 1</t>
  </si>
  <si>
    <t>Best Bronze 2</t>
  </si>
  <si>
    <t>Silver Scores</t>
  </si>
  <si>
    <t>Silver Sorted</t>
  </si>
  <si>
    <t>Quarter Final 1</t>
  </si>
  <si>
    <t>Semifinal 1</t>
  </si>
  <si>
    <t>Quarter Final 2</t>
  </si>
  <si>
    <t>Final</t>
  </si>
  <si>
    <t>Gold Scores</t>
  </si>
  <si>
    <t>Gold Sorted</t>
  </si>
  <si>
    <t>Quarter Final 3</t>
  </si>
  <si>
    <t>Semifinal 2</t>
  </si>
  <si>
    <t>Quarter Final 4</t>
  </si>
  <si>
    <t>Bronze</t>
  </si>
  <si>
    <t>Exchange 16</t>
  </si>
  <si>
    <t>Exchange 17</t>
  </si>
  <si>
    <t>Exchange 18</t>
  </si>
  <si>
    <t>Exchange 19</t>
  </si>
  <si>
    <t>Exchange 20</t>
  </si>
  <si>
    <t>Winner:</t>
  </si>
  <si>
    <t>Gold:</t>
  </si>
  <si>
    <t>Loser:</t>
  </si>
  <si>
    <t>Silver:</t>
  </si>
  <si>
    <t>Bronze:</t>
  </si>
  <si>
    <t>Lead?:</t>
  </si>
  <si>
    <t>Wins-Loses</t>
  </si>
  <si>
    <t>Ranking</t>
  </si>
  <si>
    <t/>
  </si>
  <si>
    <t>Gold</t>
  </si>
  <si>
    <t>Silver</t>
  </si>
  <si>
    <t>Figther</t>
  </si>
  <si>
    <t>DATA</t>
  </si>
  <si>
    <t>SORTED. FIRST BY MATCHES WON, THEN BY CLEANLINESS, THEN BY POINTS</t>
  </si>
  <si>
    <t>Total Matches</t>
  </si>
  <si>
    <t>Fighter</t>
  </si>
  <si>
    <t>Total Points</t>
  </si>
  <si>
    <t>CAVEAT: THIS RESULT DOESN'T TAKE INTO ACCOUNT DIFFERENCES IN POOL BALANCE.</t>
  </si>
  <si>
    <t>CLEANEST FIGHTERS</t>
  </si>
  <si>
    <t>SORTED. POOLS + ELIMINATIONS</t>
  </si>
  <si>
    <t>SORTED. ELIMINATION</t>
  </si>
  <si>
    <t>POOLS + ELIMINATIONS</t>
  </si>
  <si>
    <t>ELIMINATION SCORES</t>
  </si>
  <si>
    <t>CAVEAT: THIS RESULTS DOES NOT TAKE INTO ACCOUNT DIFFERENCES IN POOL BALANCE PLUS COMPOUNDS THE IMBALANCES FROM DIRECT ELIMINATION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</si>
</sst>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6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b/>
      <sz val="10.0"/>
      <color rgb="FFF5CD53"/>
      <name val="Arial"/>
    </font>
    <font>
      <b/>
      <sz val="10.0"/>
      <color rgb="FF000000"/>
      <name val="Arial"/>
    </font>
    <font>
      <sz val="10.0"/>
      <color theme="1"/>
      <name val="Arial"/>
    </font>
    <font/>
    <font>
      <b/>
      <color theme="1"/>
      <name val="Arial"/>
      <scheme val="minor"/>
    </font>
    <font>
      <sz val="10.0"/>
      <color rgb="FF000000"/>
      <name val="Arial"/>
    </font>
    <font>
      <b/>
      <sz val="10.0"/>
      <color theme="1"/>
      <name val="Times New Roman"/>
    </font>
    <font>
      <b/>
      <color theme="1"/>
      <name val="Arial"/>
    </font>
    <font>
      <color theme="1"/>
      <name val="Arial"/>
    </font>
    <font>
      <b/>
      <color theme="1"/>
      <name val="Times New Roman"/>
    </font>
    <font>
      <b/>
      <sz val="10.0"/>
      <color rgb="FFFFD966"/>
      <name val="Arial"/>
    </font>
    <font>
      <b/>
      <color rgb="FFB45F06"/>
      <name val="Arial"/>
      <scheme val="minor"/>
    </font>
    <font>
      <b/>
      <color rgb="FFFFFF00"/>
      <name val="Arial"/>
      <scheme val="minor"/>
    </font>
    <font>
      <b/>
      <color rgb="FFCCCCCC"/>
      <name val="Arial"/>
      <scheme val="minor"/>
    </font>
    <font>
      <b/>
      <color rgb="FFE69138"/>
      <name val="Arial"/>
      <scheme val="minor"/>
    </font>
    <font>
      <b/>
      <color rgb="FFFFD966"/>
      <name val="Arial"/>
      <scheme val="minor"/>
    </font>
    <font>
      <b/>
      <color rgb="FF000000"/>
      <name val="Arial"/>
      <scheme val="minor"/>
    </font>
    <font>
      <color rgb="FFFFE599"/>
      <name val="Arial"/>
      <scheme val="minor"/>
    </font>
    <font>
      <color rgb="FF000000"/>
      <name val="Arial"/>
      <scheme val="minor"/>
    </font>
    <font>
      <color rgb="FFFFFF00"/>
      <name val="Arial"/>
      <scheme val="minor"/>
    </font>
    <font>
      <color rgb="FFCCCCCC"/>
      <name val="Arial"/>
      <scheme val="minor"/>
    </font>
    <font>
      <color rgb="FFE69138"/>
      <name val="Arial"/>
      <scheme val="minor"/>
    </font>
    <font>
      <b/>
      <color rgb="FFF1C232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5CD53"/>
        <bgColor rgb="FFF5CD53"/>
      </patternFill>
    </fill>
    <fill>
      <patternFill patternType="solid">
        <fgColor rgb="FFCCF4C6"/>
        <bgColor rgb="FFCCF4C6"/>
      </patternFill>
    </fill>
    <fill>
      <patternFill patternType="solid">
        <fgColor rgb="FF00A0FC"/>
        <bgColor rgb="FF00A0FC"/>
      </patternFill>
    </fill>
    <fill>
      <patternFill patternType="solid">
        <fgColor rgb="FF808080"/>
        <bgColor rgb="FF808080"/>
      </patternFill>
    </fill>
    <fill>
      <patternFill patternType="solid">
        <fgColor rgb="FFD36118"/>
        <bgColor rgb="FFD36118"/>
      </patternFill>
    </fill>
    <fill>
      <patternFill patternType="solid">
        <fgColor rgb="FF999999"/>
        <bgColor rgb="FF999999"/>
      </patternFill>
    </fill>
    <fill>
      <patternFill patternType="solid">
        <fgColor rgb="FFAADCF7"/>
        <bgColor rgb="FFAADCF7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3" numFmtId="0" xfId="0" applyAlignment="1" applyBorder="1" applyFill="1" applyFont="1">
      <alignment horizontal="left" shrinkToFit="0" vertical="bottom" wrapText="0"/>
    </xf>
    <xf borderId="1" fillId="3" fontId="4" numFmtId="0" xfId="0" applyAlignment="1" applyBorder="1" applyFill="1" applyFont="1">
      <alignment horizontal="left" shrinkToFit="0" vertical="bottom" wrapText="0"/>
    </xf>
    <xf borderId="0" fillId="0" fontId="2" numFmtId="0" xfId="0" applyFont="1"/>
    <xf borderId="2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left" shrinkToFit="0" vertical="bottom" wrapText="0"/>
    </xf>
    <xf borderId="2" fillId="0" fontId="5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4" fillId="0" fontId="6" numFmtId="0" xfId="0" applyBorder="1" applyFont="1"/>
    <xf borderId="2" fillId="0" fontId="7" numFmtId="0" xfId="0" applyAlignment="1" applyBorder="1" applyFont="1">
      <alignment readingOrder="0"/>
    </xf>
    <xf borderId="0" fillId="0" fontId="1" numFmtId="0" xfId="0" applyAlignment="1" applyFont="1">
      <alignment horizontal="right" shrinkToFit="0" vertical="bottom" wrapText="0"/>
    </xf>
    <xf borderId="2" fillId="0" fontId="1" numFmtId="0" xfId="0" applyAlignment="1" applyBorder="1" applyFont="1">
      <alignment horizontal="right" shrinkToFit="0" vertical="bottom" wrapText="0"/>
    </xf>
    <xf borderId="2" fillId="2" fontId="8" numFmtId="0" xfId="0" applyAlignment="1" applyBorder="1" applyFill="1" applyFont="1">
      <alignment horizontal="center"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2" fillId="0" fontId="9" numFmtId="0" xfId="0" applyAlignment="1" applyBorder="1" applyFont="1">
      <alignment horizontal="left" shrinkToFit="0" vertical="bottom" wrapText="1"/>
    </xf>
    <xf borderId="2" fillId="4" fontId="5" numFmtId="0" xfId="0" applyAlignment="1" applyBorder="1" applyFill="1" applyFont="1">
      <alignment horizontal="center" shrinkToFit="0" vertical="bottom" wrapText="0"/>
    </xf>
    <xf borderId="2" fillId="4" fontId="5" numFmtId="1" xfId="0" applyAlignment="1" applyBorder="1" applyFill="1" applyFont="1" applyNumberFormat="1">
      <alignment horizontal="center" shrinkToFit="0" vertical="bottom" wrapText="0"/>
    </xf>
    <xf borderId="2" fillId="0" fontId="1" numFmtId="1" xfId="0" applyAlignment="1" applyBorder="1" applyFont="1" applyNumberFormat="1">
      <alignment shrinkToFit="0" vertical="bottom" wrapText="0"/>
    </xf>
    <xf borderId="2" fillId="5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2" fillId="2" fontId="5" numFmtId="0" xfId="0" applyAlignment="1" applyBorder="1" applyFill="1" applyFont="1">
      <alignment horizontal="center" shrinkToFit="0" vertical="bottom" wrapText="0"/>
    </xf>
    <xf borderId="2" fillId="6" fontId="4" numFmtId="0" xfId="0" applyAlignment="1" applyBorder="1" applyFill="1" applyFont="1">
      <alignment horizontal="center" shrinkToFit="0" vertical="bottom" wrapText="0"/>
    </xf>
    <xf borderId="2" fillId="0" fontId="8" numFmtId="0" xfId="0" applyAlignment="1" applyBorder="1" applyFont="1">
      <alignment shrinkToFit="0" vertical="bottom" wrapText="0"/>
    </xf>
    <xf borderId="2" fillId="7" fontId="1" numFmtId="0" xfId="0" applyAlignment="1" applyBorder="1" applyFill="1" applyFont="1">
      <alignment shrinkToFit="0" vertical="bottom" wrapText="0"/>
    </xf>
    <xf borderId="2" fillId="6" fontId="4" numFmtId="0" xfId="0" applyAlignment="1" applyBorder="1" applyFill="1" applyFont="1">
      <alignment horizontal="center" readingOrder="0" shrinkToFit="0" vertical="bottom" wrapText="0"/>
    </xf>
    <xf borderId="2" fillId="8" fontId="4" numFmtId="0" xfId="0" applyAlignment="1" applyBorder="1" applyFill="1" applyFont="1">
      <alignment horizontal="center" readingOrder="0" shrinkToFit="0" vertical="bottom" wrapText="0"/>
    </xf>
    <xf borderId="2" fillId="0" fontId="5" numFmtId="0" xfId="0" applyAlignment="1" applyBorder="1" applyFont="1">
      <alignment horizontal="left" shrinkToFit="0" vertical="bottom" wrapText="0"/>
    </xf>
    <xf borderId="0" fillId="0" fontId="10" numFmtId="0" xfId="0" applyAlignment="1" applyFont="1">
      <alignment readingOrder="0" vertical="bottom"/>
    </xf>
    <xf borderId="2" fillId="0" fontId="10" numFmtId="0" xfId="0" applyAlignment="1" applyBorder="1" applyFont="1">
      <alignment readingOrder="0" vertical="bottom"/>
    </xf>
    <xf borderId="2" fillId="0" fontId="10" numFmtId="0" xfId="0" applyAlignment="1" applyBorder="1" applyFont="1">
      <alignment horizontal="center"/>
    </xf>
    <xf borderId="2" fillId="0" fontId="10" numFmtId="0" xfId="0" applyAlignment="1" applyBorder="1" applyFont="1">
      <alignment horizontal="center" vertical="bottom"/>
    </xf>
    <xf borderId="2" fillId="0" fontId="11" numFmtId="0" xfId="0" applyAlignment="1" applyBorder="1" applyFont="1">
      <alignment vertical="bottom"/>
    </xf>
    <xf borderId="3" fillId="0" fontId="10" numFmtId="0" xfId="0" applyAlignment="1" applyBorder="1" applyFont="1">
      <alignment horizontal="center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2" fillId="0" fontId="10" numFmtId="0" xfId="0" applyAlignment="1" applyBorder="1" applyFont="1">
      <alignment horizontal="right" vertical="bottom"/>
    </xf>
    <xf borderId="2" fillId="2" fontId="11" numFmtId="0" xfId="0" applyAlignment="1" applyBorder="1" applyFill="1" applyFont="1">
      <alignment vertical="bottom"/>
    </xf>
    <xf borderId="2" fillId="0" fontId="11" numFmtId="0" xfId="0" applyAlignment="1" applyBorder="1" applyFont="1">
      <alignment horizontal="center" vertical="bottom"/>
    </xf>
    <xf borderId="2" fillId="0" fontId="12" numFmtId="0" xfId="0" applyAlignment="1" applyBorder="1" applyFont="1">
      <alignment shrinkToFit="0" vertical="bottom" wrapText="1"/>
    </xf>
    <xf borderId="2" fillId="4" fontId="11" numFmtId="0" xfId="0" applyAlignment="1" applyBorder="1" applyFill="1" applyFont="1">
      <alignment horizontal="center" vertical="bottom"/>
    </xf>
    <xf borderId="2" fillId="0" fontId="10" numFmtId="0" xfId="0" applyAlignment="1" applyBorder="1" applyFont="1">
      <alignment vertical="bottom"/>
    </xf>
    <xf borderId="2" fillId="5" fontId="10" numFmtId="0" xfId="0" applyAlignment="1" applyBorder="1" applyFill="1" applyFont="1">
      <alignment vertical="bottom"/>
    </xf>
    <xf borderId="0" fillId="0" fontId="11" numFmtId="0" xfId="0" applyAlignment="1" applyFont="1">
      <alignment vertical="bottom"/>
    </xf>
    <xf borderId="2" fillId="7" fontId="10" numFmtId="0" xfId="0" applyAlignment="1" applyBorder="1" applyFill="1" applyFont="1">
      <alignment vertical="bottom"/>
    </xf>
    <xf borderId="2" fillId="0" fontId="10" numFmtId="0" xfId="0" applyAlignment="1" applyBorder="1" applyFont="1">
      <alignment horizontal="right" readingOrder="0" vertical="bottom"/>
    </xf>
    <xf borderId="0" fillId="0" fontId="2" numFmtId="0" xfId="0" applyAlignment="1" applyFont="1">
      <alignment readingOrder="0"/>
    </xf>
    <xf borderId="3" fillId="8" fontId="4" numFmtId="0" xfId="0" applyAlignment="1" applyBorder="1" applyFill="1" applyFont="1">
      <alignment horizontal="center" shrinkToFit="0" vertical="center" wrapText="0"/>
    </xf>
    <xf borderId="3" fillId="0" fontId="1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7" numFmtId="0" xfId="0" applyAlignment="1" applyFont="1">
      <alignment readingOrder="0"/>
    </xf>
    <xf borderId="4" fillId="0" fontId="1" numFmtId="0" xfId="0" applyAlignment="1" applyBorder="1" applyFont="1">
      <alignment horizontal="right" shrinkToFit="0" vertical="bottom" wrapText="0"/>
    </xf>
    <xf borderId="3" fillId="2" fontId="3" numFmtId="0" xfId="0" applyAlignment="1" applyBorder="1" applyFill="1" applyFont="1">
      <alignment horizontal="center" shrinkToFit="0" vertical="center" wrapText="0"/>
    </xf>
    <xf borderId="3" fillId="3" fontId="4" numFmtId="0" xfId="0" applyAlignment="1" applyBorder="1" applyFill="1" applyFont="1">
      <alignment horizontal="center" shrinkToFit="0" vertical="center" wrapText="0"/>
    </xf>
    <xf borderId="2" fillId="8" fontId="5" numFmtId="0" xfId="0" applyAlignment="1" applyBorder="1" applyFill="1" applyFont="1">
      <alignment horizontal="right" readingOrder="0" shrinkToFit="0" vertical="bottom" wrapText="0"/>
    </xf>
    <xf borderId="2" fillId="8" fontId="8" numFmtId="0" xfId="0" applyAlignment="1" applyBorder="1" applyFill="1" applyFont="1">
      <alignment horizontal="left" readingOrder="0" shrinkToFit="0" vertical="bottom" wrapText="0"/>
    </xf>
    <xf borderId="2" fillId="0" fontId="8" numFmtId="0" xfId="0" applyAlignment="1" applyBorder="1" applyFont="1">
      <alignment horizontal="left" shrinkToFit="0" vertical="bottom" wrapText="0"/>
    </xf>
    <xf borderId="3" fillId="0" fontId="8" numFmtId="0" xfId="0" applyAlignment="1" applyBorder="1" applyFont="1">
      <alignment horizontal="left" shrinkToFit="0" vertical="bottom" wrapText="0"/>
    </xf>
    <xf borderId="2" fillId="8" fontId="8" numFmtId="0" xfId="0" applyAlignment="1" applyBorder="1" applyFill="1" applyFont="1">
      <alignment horizontal="left" shrinkToFit="0" vertical="bottom" wrapText="0"/>
    </xf>
    <xf borderId="2" fillId="8" fontId="5" numFmtId="0" xfId="0" applyAlignment="1" applyBorder="1" applyFill="1" applyFont="1">
      <alignment horizontal="right" shrinkToFit="0" vertical="bottom" wrapText="0"/>
    </xf>
    <xf borderId="2" fillId="8" fontId="1" numFmtId="0" xfId="0" applyAlignment="1" applyBorder="1" applyFill="1" applyFont="1">
      <alignment horizontal="right" shrinkToFit="0" vertical="bottom" wrapText="0"/>
    </xf>
    <xf borderId="2" fillId="8" fontId="4" numFmtId="0" xfId="0" applyAlignment="1" applyBorder="1" applyFill="1" applyFont="1">
      <alignment horizontal="left" readingOrder="0" shrinkToFit="0" vertical="bottom" wrapText="0"/>
    </xf>
    <xf borderId="2" fillId="8" fontId="1" numFmtId="0" xfId="0" applyAlignment="1" applyBorder="1" applyFill="1" applyFont="1">
      <alignment horizontal="right" readingOrder="0" shrinkToFit="0" vertical="bottom" wrapText="0"/>
    </xf>
    <xf borderId="2" fillId="8" fontId="4" numFmtId="0" xfId="0" applyAlignment="1" applyBorder="1" applyFill="1" applyFont="1">
      <alignment horizontal="left" shrinkToFit="0" vertical="bottom" wrapText="0"/>
    </xf>
    <xf borderId="2" fillId="9" fontId="5" numFmtId="0" xfId="0" applyAlignment="1" applyBorder="1" applyFill="1" applyFont="1">
      <alignment shrinkToFit="0" vertical="bottom" wrapText="0"/>
    </xf>
    <xf borderId="2" fillId="0" fontId="5" numFmtId="0" xfId="0" applyAlignment="1" applyBorder="1" applyFon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0"/>
    </xf>
    <xf borderId="2" fillId="8" fontId="11" numFmtId="0" xfId="0" applyAlignment="1" applyBorder="1" applyFill="1" applyFont="1">
      <alignment horizontal="right" vertical="bottom"/>
    </xf>
    <xf borderId="2" fillId="8" fontId="11" numFmtId="0" xfId="0" applyAlignment="1" applyBorder="1" applyFill="1" applyFont="1">
      <alignment vertical="bottom"/>
    </xf>
    <xf borderId="2" fillId="8" fontId="11" numFmtId="0" xfId="0" applyAlignment="1" applyBorder="1" applyFill="1" applyFont="1">
      <alignment horizontal="right" vertical="bottom"/>
    </xf>
    <xf borderId="2" fillId="8" fontId="10" numFmtId="0" xfId="0" applyAlignment="1" applyBorder="1" applyFill="1" applyFont="1">
      <alignment horizontal="right" vertical="bottom"/>
    </xf>
    <xf borderId="2" fillId="8" fontId="10" numFmtId="0" xfId="0" applyAlignment="1" applyBorder="1" applyFill="1" applyFont="1">
      <alignment vertical="bottom"/>
    </xf>
    <xf borderId="2" fillId="8" fontId="10" numFmtId="0" xfId="0" applyAlignment="1" applyBorder="1" applyFill="1" applyFont="1">
      <alignment horizontal="right" vertical="bottom"/>
    </xf>
    <xf borderId="2" fillId="8" fontId="10" numFmtId="0" xfId="0" applyAlignment="1" applyBorder="1" applyFill="1" applyFont="1">
      <alignment vertical="bottom"/>
    </xf>
    <xf borderId="2" fillId="8" fontId="11" numFmtId="0" xfId="0" applyAlignment="1" applyBorder="1" applyFill="1" applyFont="1">
      <alignment vertical="bottom"/>
    </xf>
    <xf borderId="0" fillId="0" fontId="5" numFmtId="0" xfId="0" applyAlignment="1" applyFont="1">
      <alignment horizontal="left" shrinkToFit="0" vertical="bottom" wrapText="0"/>
    </xf>
    <xf borderId="1" fillId="2" fontId="13" numFmtId="0" xfId="0" applyAlignment="1" applyBorder="1" applyFill="1" applyFont="1">
      <alignment horizontal="left" shrinkToFit="0" vertical="bottom" wrapText="0"/>
    </xf>
    <xf borderId="3" fillId="2" fontId="13" numFmtId="0" xfId="0" applyAlignment="1" applyBorder="1" applyFill="1" applyFont="1">
      <alignment horizontal="center" shrinkToFit="0" vertical="center" wrapText="0"/>
    </xf>
    <xf borderId="5" fillId="2" fontId="14" numFmtId="0" xfId="0" applyAlignment="1" applyBorder="1" applyFill="1" applyFont="1">
      <alignment horizontal="center" readingOrder="0"/>
    </xf>
    <xf borderId="6" fillId="0" fontId="6" numFmtId="0" xfId="0" applyBorder="1" applyFont="1"/>
    <xf borderId="7" fillId="2" fontId="15" numFmtId="0" xfId="0" applyAlignment="1" applyBorder="1" applyFill="1" applyFont="1">
      <alignment readingOrder="0"/>
    </xf>
    <xf borderId="7" fillId="2" fontId="15" numFmtId="0" xfId="0" applyBorder="1" applyFill="1" applyFont="1"/>
    <xf borderId="7" fillId="2" fontId="14" numFmtId="0" xfId="0" applyBorder="1" applyFill="1" applyFont="1"/>
    <xf borderId="7" fillId="2" fontId="14" numFmtId="1" xfId="0" applyBorder="1" applyFill="1" applyFont="1" applyNumberFormat="1"/>
    <xf borderId="7" fillId="2" fontId="16" numFmtId="0" xfId="0" applyAlignment="1" applyBorder="1" applyFill="1" applyFont="1">
      <alignment readingOrder="0"/>
    </xf>
    <xf borderId="7" fillId="2" fontId="16" numFmtId="0" xfId="0" applyBorder="1" applyFill="1" applyFont="1"/>
    <xf borderId="0" fillId="0" fontId="11" numFmtId="0" xfId="0" applyAlignment="1" applyFont="1">
      <alignment readingOrder="0" vertical="bottom"/>
    </xf>
    <xf borderId="7" fillId="2" fontId="17" numFmtId="0" xfId="0" applyAlignment="1" applyBorder="1" applyFill="1" applyFont="1">
      <alignment readingOrder="0"/>
    </xf>
    <xf borderId="7" fillId="2" fontId="17" numFmtId="0" xfId="0" applyBorder="1" applyFill="1" applyFont="1"/>
    <xf borderId="2" fillId="10" fontId="2" numFmtId="0" xfId="0" applyAlignment="1" applyBorder="1" applyFill="1" applyFont="1">
      <alignment readingOrder="0"/>
    </xf>
    <xf borderId="0" fillId="2" fontId="11" numFmtId="0" xfId="0" applyAlignment="1" applyFill="1" applyFont="1">
      <alignment vertical="bottom"/>
    </xf>
    <xf borderId="0" fillId="0" fontId="11" numFmtId="0" xfId="0" applyAlignment="1" applyFont="1">
      <alignment horizontal="right" vertical="bottom"/>
    </xf>
    <xf borderId="0" fillId="0" fontId="2" numFmtId="1" xfId="0" applyFont="1" applyNumberFormat="1"/>
    <xf borderId="0" fillId="0" fontId="11" numFmtId="1" xfId="0" applyAlignment="1" applyFont="1" applyNumberFormat="1">
      <alignment horizontal="right" vertical="bottom"/>
    </xf>
    <xf borderId="0" fillId="0" fontId="11" numFmtId="164" xfId="0" applyAlignment="1" applyFont="1" applyNumberFormat="1">
      <alignment horizontal="right" vertical="bottom"/>
    </xf>
    <xf borderId="5" fillId="2" fontId="16" numFmtId="0" xfId="0" applyAlignment="1" applyBorder="1" applyFill="1" applyFont="1">
      <alignment horizontal="center" readingOrder="0"/>
    </xf>
    <xf borderId="7" fillId="2" fontId="16" numFmtId="1" xfId="0" applyBorder="1" applyFill="1" applyFont="1" applyNumberFormat="1"/>
    <xf borderId="2" fillId="2" fontId="18" numFmtId="0" xfId="0" applyBorder="1" applyFill="1" applyFont="1"/>
    <xf borderId="0" fillId="0" fontId="7" numFmtId="0" xfId="0" applyFont="1"/>
    <xf borderId="2" fillId="11" fontId="19" numFmtId="0" xfId="0" applyBorder="1" applyFill="1" applyFont="1"/>
    <xf borderId="5" fillId="2" fontId="15" numFmtId="0" xfId="0" applyAlignment="1" applyBorder="1" applyFill="1" applyFont="1">
      <alignment horizontal="center" readingOrder="0"/>
    </xf>
    <xf borderId="7" fillId="2" fontId="15" numFmtId="1" xfId="0" applyBorder="1" applyFill="1" applyFont="1" applyNumberFormat="1"/>
    <xf borderId="0" fillId="2" fontId="2" numFmtId="0" xfId="0" applyFill="1" applyFont="1"/>
    <xf borderId="2" fillId="0" fontId="1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/>
    </xf>
    <xf borderId="3" fillId="2" fontId="3" numFmtId="0" xfId="0" applyAlignment="1" applyBorder="1" applyFill="1" applyFont="1">
      <alignment horizontal="center" readingOrder="0" shrinkToFit="0" vertical="center" wrapText="0"/>
    </xf>
    <xf borderId="3" fillId="3" fontId="4" numFmtId="0" xfId="0" applyAlignment="1" applyBorder="1" applyFill="1" applyFont="1">
      <alignment horizontal="center" readingOrder="0" shrinkToFit="0" vertical="center" wrapText="0"/>
    </xf>
    <xf borderId="2" fillId="8" fontId="5" numFmtId="0" xfId="0" applyAlignment="1" applyBorder="1" applyFill="1" applyFont="1">
      <alignment horizontal="left" readingOrder="0" shrinkToFit="0" vertical="bottom" wrapText="0"/>
    </xf>
    <xf borderId="2" fillId="8" fontId="11" numFmtId="0" xfId="0" applyAlignment="1" applyBorder="1" applyFill="1" applyFont="1">
      <alignment horizontal="left" vertical="bottom"/>
    </xf>
    <xf borderId="2" fillId="8" fontId="8" numFmtId="0" xfId="0" applyAlignment="1" applyBorder="1" applyFill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2" fillId="8" fontId="11" numFmtId="0" xfId="0" applyAlignment="1" applyBorder="1" applyFill="1" applyFont="1">
      <alignment horizontal="left" vertical="bottom"/>
    </xf>
    <xf borderId="2" fillId="8" fontId="5" numFmtId="0" xfId="0" applyAlignment="1" applyBorder="1" applyFill="1" applyFont="1">
      <alignment horizontal="left" shrinkToFit="0" vertical="bottom" wrapText="0"/>
    </xf>
    <xf borderId="2" fillId="8" fontId="8" numFmtId="0" xfId="0" applyAlignment="1" applyBorder="1" applyFill="1" applyFont="1">
      <alignment horizontal="right" shrinkToFit="0" vertical="bottom" wrapText="0"/>
    </xf>
    <xf borderId="0" fillId="0" fontId="8" numFmtId="0" xfId="0" applyAlignment="1" applyFont="1">
      <alignment horizontal="left" shrinkToFit="0" vertical="bottom" wrapText="0"/>
    </xf>
    <xf borderId="3" fillId="2" fontId="18" numFmtId="0" xfId="0" applyAlignment="1" applyBorder="1" applyFill="1" applyFont="1">
      <alignment horizontal="center" readingOrder="0"/>
    </xf>
    <xf borderId="7" fillId="2" fontId="17" numFmtId="0" xfId="0" applyAlignment="1" applyBorder="1" applyFill="1" applyFont="1">
      <alignment horizontal="center"/>
    </xf>
    <xf borderId="7" fillId="2" fontId="17" numFmtId="0" xfId="0" applyAlignment="1" applyBorder="1" applyFill="1" applyFont="1">
      <alignment horizontal="left"/>
    </xf>
    <xf borderId="2" fillId="2" fontId="18" numFmtId="0" xfId="0" applyAlignment="1" applyBorder="1" applyFill="1" applyFont="1">
      <alignment horizontal="center" readingOrder="0"/>
    </xf>
    <xf borderId="7" fillId="2" fontId="17" numFmtId="1" xfId="0" applyAlignment="1" applyBorder="1" applyFill="1" applyFont="1" applyNumberFormat="1">
      <alignment horizontal="left"/>
    </xf>
    <xf borderId="3" fillId="0" fontId="2" numFmtId="0" xfId="0" applyBorder="1" applyFont="1"/>
    <xf borderId="8" fillId="2" fontId="20" numFmtId="0" xfId="0" applyBorder="1" applyFill="1" applyFont="1"/>
    <xf borderId="4" fillId="11" fontId="2" numFmtId="0" xfId="0" applyBorder="1" applyFill="1" applyFont="1"/>
    <xf borderId="4" fillId="11" fontId="21" numFmtId="0" xfId="0" applyBorder="1" applyFill="1" applyFont="1"/>
    <xf borderId="2" fillId="0" fontId="2" numFmtId="1" xfId="0" applyBorder="1" applyFont="1" applyNumberFormat="1"/>
    <xf borderId="2" fillId="12" fontId="2" numFmtId="0" xfId="0" applyBorder="1" applyFill="1" applyFont="1"/>
    <xf borderId="0" fillId="2" fontId="22" numFmtId="0" xfId="0" applyAlignment="1" applyFill="1" applyFont="1">
      <alignment readingOrder="0"/>
    </xf>
    <xf borderId="0" fillId="2" fontId="23" numFmtId="0" xfId="0" applyAlignment="1" applyFill="1" applyFont="1">
      <alignment readingOrder="0"/>
    </xf>
    <xf borderId="9" fillId="2" fontId="17" numFmtId="0" xfId="0" applyAlignment="1" applyBorder="1" applyFill="1" applyFont="1">
      <alignment horizontal="left"/>
    </xf>
    <xf borderId="9" fillId="2" fontId="17" numFmtId="1" xfId="0" applyAlignment="1" applyBorder="1" applyFill="1" applyFont="1" applyNumberFormat="1">
      <alignment horizontal="left"/>
    </xf>
    <xf borderId="0" fillId="2" fontId="24" numFmtId="0" xfId="0" applyAlignment="1" applyFill="1" applyFont="1">
      <alignment readingOrder="0"/>
    </xf>
    <xf borderId="0" fillId="0" fontId="7" numFmtId="0" xfId="0" applyAlignment="1" applyFont="1">
      <alignment horizontal="left"/>
    </xf>
    <xf borderId="2" fillId="13" fontId="2" numFmtId="0" xfId="0" applyBorder="1" applyFill="1" applyFont="1"/>
    <xf borderId="10" fillId="2" fontId="16" numFmtId="0" xfId="0" applyAlignment="1" applyBorder="1" applyFill="1" applyFont="1">
      <alignment horizontal="center"/>
    </xf>
    <xf borderId="10" fillId="2" fontId="16" numFmtId="0" xfId="0" applyAlignment="1" applyBorder="1" applyFill="1" applyFont="1">
      <alignment horizontal="left"/>
    </xf>
    <xf borderId="7" fillId="2" fontId="16" numFmtId="0" xfId="0" applyAlignment="1" applyBorder="1" applyFill="1" applyFont="1">
      <alignment horizontal="left"/>
    </xf>
    <xf borderId="7" fillId="2" fontId="16" numFmtId="1" xfId="0" applyAlignment="1" applyBorder="1" applyFill="1" applyFont="1" applyNumberFormat="1">
      <alignment horizontal="left"/>
    </xf>
    <xf borderId="9" fillId="2" fontId="16" numFmtId="0" xfId="0" applyAlignment="1" applyBorder="1" applyFill="1" applyFont="1">
      <alignment horizontal="left"/>
    </xf>
    <xf borderId="9" fillId="2" fontId="16" numFmtId="1" xfId="0" applyAlignment="1" applyBorder="1" applyFill="1" applyFont="1" applyNumberFormat="1">
      <alignment horizontal="left"/>
    </xf>
    <xf borderId="2" fillId="2" fontId="25" numFmtId="0" xfId="0" applyBorder="1" applyFill="1" applyFont="1"/>
    <xf borderId="10" fillId="2" fontId="15" numFmtId="0" xfId="0" applyAlignment="1" applyBorder="1" applyFill="1" applyFont="1">
      <alignment horizontal="center"/>
    </xf>
    <xf borderId="10" fillId="2" fontId="15" numFmtId="0" xfId="0" applyAlignment="1" applyBorder="1" applyFill="1" applyFont="1">
      <alignment horizontal="left"/>
    </xf>
    <xf borderId="7" fillId="2" fontId="15" numFmtId="0" xfId="0" applyAlignment="1" applyBorder="1" applyFill="1" applyFont="1">
      <alignment horizontal="left"/>
    </xf>
    <xf borderId="7" fillId="2" fontId="15" numFmtId="1" xfId="0" applyAlignment="1" applyBorder="1" applyFill="1" applyFont="1" applyNumberFormat="1">
      <alignment horizontal="left"/>
    </xf>
    <xf borderId="3" fillId="0" fontId="7" numFmtId="0" xfId="0" applyAlignment="1" applyBorder="1" applyFont="1">
      <alignment horizontal="center" readingOrder="0"/>
    </xf>
    <xf borderId="11" fillId="0" fontId="6" numFmtId="0" xfId="0" applyBorder="1" applyFont="1"/>
    <xf borderId="0" fillId="0" fontId="7" numFmtId="0" xfId="0" applyAlignment="1" applyFont="1">
      <alignment horizontal="center" readingOrder="0"/>
    </xf>
    <xf borderId="2" fillId="2" fontId="18" numFmtId="0" xfId="0" applyAlignment="1" applyBorder="1" applyFill="1" applyFont="1">
      <alignment horizontal="right"/>
    </xf>
    <xf borderId="2" fillId="2" fontId="18" numFmtId="0" xfId="0" applyAlignment="1" applyBorder="1" applyFill="1" applyFont="1">
      <alignment horizontal="center"/>
    </xf>
    <xf borderId="2" fillId="2" fontId="18" numFmtId="0" xfId="0" applyAlignment="1" applyBorder="1" applyFill="1" applyFont="1">
      <alignment horizontal="left"/>
    </xf>
    <xf borderId="2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right"/>
    </xf>
    <xf borderId="2" fillId="0" fontId="7" numFmtId="1" xfId="0" applyAlignment="1" applyBorder="1" applyFont="1" applyNumberFormat="1">
      <alignment horizontal="right"/>
    </xf>
    <xf borderId="2" fillId="0" fontId="7" numFmtId="0" xfId="0" applyBorder="1" applyFont="1"/>
    <xf borderId="2" fillId="0" fontId="7" numFmtId="0" xfId="0" applyAlignment="1" applyBorder="1" applyFont="1">
      <alignment horizontal="left"/>
    </xf>
    <xf borderId="2" fillId="0" fontId="2" numFmtId="0" xfId="0" applyAlignment="1" applyBorder="1" applyFont="1">
      <alignment horizontal="left" readingOrder="0"/>
    </xf>
    <xf borderId="3" fillId="0" fontId="7" numFmtId="0" xfId="0" applyAlignment="1" applyBorder="1" applyFont="1">
      <alignment readingOrder="0"/>
    </xf>
    <xf borderId="0" fillId="2" fontId="18" numFmtId="0" xfId="0" applyAlignment="1" applyFill="1" applyFont="1">
      <alignment horizontal="center" readingOrder="0"/>
    </xf>
    <xf borderId="3" fillId="2" fontId="25" numFmtId="0" xfId="0" applyAlignment="1" applyBorder="1" applyFill="1" applyFont="1">
      <alignment horizontal="center" readingOrder="0"/>
    </xf>
    <xf borderId="0" fillId="2" fontId="25" numFmtId="0" xfId="0" applyAlignment="1" applyFill="1" applyFont="1">
      <alignment horizontal="center" readingOrder="0"/>
    </xf>
    <xf borderId="2" fillId="2" fontId="25" numFmtId="0" xfId="0" applyAlignment="1" applyBorder="1" applyFill="1" applyFont="1">
      <alignment horizontal="right" readingOrder="0"/>
    </xf>
    <xf borderId="2" fillId="2" fontId="25" numFmtId="0" xfId="0" applyAlignment="1" applyBorder="1" applyFill="1" applyFont="1">
      <alignment horizontal="center" readingOrder="0"/>
    </xf>
    <xf borderId="2" fillId="2" fontId="25" numFmtId="0" xfId="0" applyAlignment="1" applyBorder="1" applyFill="1" applyFont="1">
      <alignment horizontal="left" readingOrder="0"/>
    </xf>
    <xf borderId="2" fillId="0" fontId="2" numFmtId="1" xfId="0" applyAlignment="1" applyBorder="1" applyFont="1" applyNumberFormat="1">
      <alignment horizontal="left"/>
    </xf>
    <xf borderId="0" fillId="0" fontId="7" numFmtId="0" xfId="0" applyAlignment="1" applyFont="1">
      <alignment readingOrder="0" shrinkToFit="0" wrapText="1"/>
    </xf>
    <xf borderId="12" fillId="0" fontId="7" numFmtId="0" xfId="0" applyAlignment="1" applyBorder="1" applyFont="1">
      <alignment readingOrder="0" shrinkToFit="0" wrapText="1"/>
    </xf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7.63"/>
    <col customWidth="1" min="21" max="30" width="3.88"/>
    <col customWidth="1" min="31" max="35" width="7.63"/>
  </cols>
  <sheetData>
    <row r="1" ht="12.75" customHeight="1">
      <c r="W1" s="1"/>
      <c r="AA1" s="2"/>
    </row>
    <row r="2" ht="12.75" customHeight="1">
      <c r="S2" s="1"/>
      <c r="T2" s="1"/>
      <c r="U2" s="3"/>
      <c r="V2" s="4"/>
      <c r="W2" s="3"/>
      <c r="X2" s="4"/>
      <c r="Y2" s="3"/>
      <c r="Z2" s="4"/>
      <c r="AA2" s="5"/>
      <c r="AB2" s="4"/>
      <c r="AC2" s="4"/>
      <c r="AD2" s="4"/>
    </row>
    <row r="3" ht="12.75" customHeight="1">
      <c r="L3" s="1" t="s">
        <v>0</v>
      </c>
      <c r="M3" s="6" t="str">
        <f>C25</f>
        <v>Ronald</v>
      </c>
      <c r="N3" s="7" t="str">
        <f>E25</f>
        <v>Diego</v>
      </c>
      <c r="O3" s="8" t="str">
        <f>if(AND(C41 = 0, F41 = 0), "Pending", "")</f>
        <v/>
      </c>
      <c r="S3" s="1"/>
      <c r="T3" s="9" t="s">
        <v>1</v>
      </c>
      <c r="U3" s="10" t="str">
        <f>T4</f>
        <v>Diego</v>
      </c>
      <c r="V3" s="11" t="str">
        <f>T5</f>
        <v>Eminence Bruin</v>
      </c>
      <c r="W3" s="10" t="str">
        <f>T6</f>
        <v>Tim the Burgundy Enchanter</v>
      </c>
      <c r="X3" s="11" t="str">
        <f>T7</f>
        <v>Teun</v>
      </c>
      <c r="Y3" s="10" t="str">
        <f>T8</f>
        <v>Teake</v>
      </c>
      <c r="Z3" s="11" t="str">
        <f>T9</f>
        <v>Ronald</v>
      </c>
      <c r="AA3" s="12" t="s">
        <v>2</v>
      </c>
      <c r="AB3" s="11" t="s">
        <v>3</v>
      </c>
      <c r="AC3" s="11" t="s">
        <v>4</v>
      </c>
      <c r="AD3" s="11" t="s">
        <v>5</v>
      </c>
      <c r="AE3" s="13"/>
      <c r="AF3" s="13"/>
      <c r="AG3" s="14" t="s">
        <v>6</v>
      </c>
      <c r="AH3" s="15"/>
      <c r="AI3" s="16" t="s">
        <v>7</v>
      </c>
    </row>
    <row r="4" ht="12.75" customHeight="1">
      <c r="L4" s="1" t="s">
        <v>8</v>
      </c>
      <c r="M4" s="6" t="str">
        <f>C45</f>
        <v>Eminence Bruin</v>
      </c>
      <c r="N4" s="7" t="str">
        <f>E45</f>
        <v>Teake</v>
      </c>
      <c r="O4" s="8" t="str">
        <f>if(AND(C61 = 0, F61 = 0), "Pending", "")</f>
        <v/>
      </c>
      <c r="S4" s="17"/>
      <c r="T4" s="18" t="str">
        <f t="shared" ref="T4:T9" si="1">H8</f>
        <v>Diego</v>
      </c>
      <c r="U4" s="19"/>
      <c r="V4" s="20">
        <f>F122</f>
        <v>-1</v>
      </c>
      <c r="W4" s="20">
        <f>L102</f>
        <v>1</v>
      </c>
      <c r="X4" s="20">
        <f>R62</f>
        <v>1</v>
      </c>
      <c r="Y4" s="20">
        <f>R122</f>
        <v>-1</v>
      </c>
      <c r="Z4" s="20">
        <f>C42</f>
        <v>1</v>
      </c>
      <c r="AA4" s="21">
        <f t="shared" ref="AA4:AA9" si="2">SUMIF(U4:Z4, "&gt;0")</f>
        <v>3</v>
      </c>
      <c r="AB4" s="22">
        <f>U10</f>
        <v>2</v>
      </c>
      <c r="AC4" s="22">
        <f t="shared" ref="AC4:AC9" si="3">AA4</f>
        <v>3</v>
      </c>
      <c r="AD4" s="23">
        <f t="shared" ref="AD4:AD9" si="4">AB4-AC4+(0.01*AD14)+(0.001*AD24)</f>
        <v>-1.099</v>
      </c>
      <c r="AE4" s="9" t="str">
        <f t="shared" ref="AE4:AE9" si="5">T4</f>
        <v>Diego</v>
      </c>
      <c r="AF4" s="13"/>
      <c r="AG4" s="24">
        <f t="array" ref="AG4:AH9">sort(AD4:AE9, 1, FALSE)</f>
        <v>1.953</v>
      </c>
      <c r="AH4" s="25" t="s">
        <v>9</v>
      </c>
      <c r="AI4" s="26" t="s">
        <v>10</v>
      </c>
    </row>
    <row r="5" ht="12.75" customHeight="1">
      <c r="L5" s="1" t="s">
        <v>11</v>
      </c>
      <c r="M5" s="6" t="str">
        <f>C65</f>
        <v>Tim the Burgundy Enchanter</v>
      </c>
      <c r="N5" s="7" t="str">
        <f>E65</f>
        <v>Teun</v>
      </c>
      <c r="O5" s="8" t="str">
        <f>if(AND(C81 = 0, F81 = 0), "Pending", "")</f>
        <v/>
      </c>
      <c r="S5" s="17"/>
      <c r="T5" s="18" t="str">
        <f t="shared" si="1"/>
        <v>Eminence Bruin</v>
      </c>
      <c r="U5" s="20">
        <f>C122</f>
        <v>1</v>
      </c>
      <c r="V5" s="27"/>
      <c r="W5" s="20">
        <f>R82</f>
        <v>-1</v>
      </c>
      <c r="X5" s="20">
        <f>L122</f>
        <v>0</v>
      </c>
      <c r="Y5" s="20">
        <f>F62</f>
        <v>-1</v>
      </c>
      <c r="Z5" s="20">
        <f>L82</f>
        <v>-1</v>
      </c>
      <c r="AA5" s="21">
        <f t="shared" si="2"/>
        <v>1</v>
      </c>
      <c r="AB5" s="22">
        <f>V10</f>
        <v>3</v>
      </c>
      <c r="AC5" s="22">
        <f t="shared" si="3"/>
        <v>1</v>
      </c>
      <c r="AD5" s="23">
        <f t="shared" si="4"/>
        <v>1.887</v>
      </c>
      <c r="AE5" s="9" t="str">
        <f t="shared" si="5"/>
        <v>Eminence Bruin</v>
      </c>
      <c r="AF5" s="13"/>
      <c r="AG5" s="24">
        <v>1.8869999999999998</v>
      </c>
      <c r="AH5" s="25" t="s">
        <v>12</v>
      </c>
      <c r="AI5" s="26" t="s">
        <v>10</v>
      </c>
    </row>
    <row r="6" ht="12.75" customHeight="1">
      <c r="H6" s="28" t="s">
        <v>13</v>
      </c>
      <c r="L6" s="1" t="s">
        <v>14</v>
      </c>
      <c r="M6" s="6" t="str">
        <f>C85</f>
        <v>Ronald</v>
      </c>
      <c r="N6" s="7" t="str">
        <f>E85</f>
        <v>Teake</v>
      </c>
      <c r="O6" s="8" t="str">
        <f>if(AND(C101 = 0, F101 = 0), "Pending", "")</f>
        <v/>
      </c>
      <c r="S6" s="17"/>
      <c r="T6" s="18" t="str">
        <f t="shared" si="1"/>
        <v>Tim the Burgundy Enchanter</v>
      </c>
      <c r="U6" s="20">
        <f>I102</f>
        <v>-1</v>
      </c>
      <c r="V6" s="20">
        <f>O82</f>
        <v>1</v>
      </c>
      <c r="W6" s="27"/>
      <c r="X6" s="20">
        <f>F82</f>
        <v>0</v>
      </c>
      <c r="Y6" s="20">
        <f>R42</f>
        <v>-1</v>
      </c>
      <c r="Z6" s="20">
        <f>I42</f>
        <v>-1</v>
      </c>
      <c r="AA6" s="21">
        <f t="shared" si="2"/>
        <v>1</v>
      </c>
      <c r="AB6" s="22">
        <f>W10</f>
        <v>3</v>
      </c>
      <c r="AC6" s="22">
        <f t="shared" si="3"/>
        <v>1</v>
      </c>
      <c r="AD6" s="23">
        <f t="shared" si="4"/>
        <v>1.953</v>
      </c>
      <c r="AE6" s="9" t="str">
        <f t="shared" si="5"/>
        <v>Tim the Burgundy Enchanter</v>
      </c>
      <c r="AF6" s="13"/>
      <c r="AG6" s="24">
        <v>0.942</v>
      </c>
      <c r="AH6" s="9" t="s">
        <v>15</v>
      </c>
      <c r="AI6" s="26" t="s">
        <v>16</v>
      </c>
    </row>
    <row r="7" ht="12.75" customHeight="1">
      <c r="H7" s="29"/>
      <c r="L7" s="1" t="s">
        <v>17</v>
      </c>
      <c r="M7" s="6" t="str">
        <f>C105</f>
        <v>Diego</v>
      </c>
      <c r="N7" s="7" t="str">
        <f>E105</f>
        <v>Eminence Bruin</v>
      </c>
      <c r="O7" s="8" t="str">
        <f>if(AND(C121 = 0, F121 = 0), "Pending", "")</f>
        <v/>
      </c>
      <c r="S7" s="17"/>
      <c r="T7" s="18" t="str">
        <f t="shared" si="1"/>
        <v>Teun</v>
      </c>
      <c r="U7" s="20">
        <f>O62</f>
        <v>-1</v>
      </c>
      <c r="V7" s="20">
        <f>I122</f>
        <v>0</v>
      </c>
      <c r="W7" s="20">
        <f>C82</f>
        <v>0</v>
      </c>
      <c r="X7" s="27"/>
      <c r="Y7" s="20">
        <f>L62</f>
        <v>-1</v>
      </c>
      <c r="Z7" s="20">
        <f>R102</f>
        <v>1</v>
      </c>
      <c r="AA7" s="21">
        <f t="shared" si="2"/>
        <v>1</v>
      </c>
      <c r="AB7" s="22">
        <f>X10</f>
        <v>2</v>
      </c>
      <c r="AC7" s="22">
        <f t="shared" si="3"/>
        <v>1</v>
      </c>
      <c r="AD7" s="23">
        <f t="shared" si="4"/>
        <v>0.942</v>
      </c>
      <c r="AE7" s="9" t="str">
        <f t="shared" si="5"/>
        <v>Teun</v>
      </c>
      <c r="AF7" s="13"/>
      <c r="AG7" s="24">
        <v>0.901</v>
      </c>
      <c r="AH7" s="30" t="s">
        <v>18</v>
      </c>
    </row>
    <row r="8" ht="12.75" customHeight="1">
      <c r="H8" s="31" t="s">
        <v>19</v>
      </c>
      <c r="L8" s="1" t="s">
        <v>20</v>
      </c>
      <c r="M8" s="6" t="str">
        <f>I25</f>
        <v>Ronald</v>
      </c>
      <c r="N8" s="7" t="str">
        <f>K25</f>
        <v>Tim the Burgundy Enchanter</v>
      </c>
      <c r="O8" s="8" t="str">
        <f>if(AND(I41 = 0, L41 = 0), "Pending", "")</f>
        <v/>
      </c>
      <c r="S8" s="17"/>
      <c r="T8" s="18" t="str">
        <f t="shared" si="1"/>
        <v>Teake</v>
      </c>
      <c r="U8" s="20">
        <f>O122</f>
        <v>1</v>
      </c>
      <c r="V8" s="20">
        <f>C62</f>
        <v>1</v>
      </c>
      <c r="W8" s="20">
        <f>O42</f>
        <v>1</v>
      </c>
      <c r="X8" s="20">
        <f>I62</f>
        <v>1</v>
      </c>
      <c r="Y8" s="27"/>
      <c r="Z8" s="20">
        <f>C102</f>
        <v>1</v>
      </c>
      <c r="AA8" s="21">
        <f t="shared" si="2"/>
        <v>5</v>
      </c>
      <c r="AB8" s="22">
        <f>Y10</f>
        <v>0</v>
      </c>
      <c r="AC8" s="22">
        <f t="shared" si="3"/>
        <v>5</v>
      </c>
      <c r="AD8" s="23">
        <f t="shared" si="4"/>
        <v>-5.124</v>
      </c>
      <c r="AE8" s="9" t="str">
        <f t="shared" si="5"/>
        <v>Teake</v>
      </c>
      <c r="AF8" s="13"/>
      <c r="AG8" s="24">
        <v>-1.0990000000000002</v>
      </c>
      <c r="AH8" s="30" t="s">
        <v>19</v>
      </c>
    </row>
    <row r="9" ht="12.75" customHeight="1">
      <c r="H9" s="31" t="s">
        <v>12</v>
      </c>
      <c r="L9" s="1" t="s">
        <v>21</v>
      </c>
      <c r="M9" s="6" t="str">
        <f>I45</f>
        <v>Teun</v>
      </c>
      <c r="N9" s="7" t="str">
        <f>K45</f>
        <v>Teake</v>
      </c>
      <c r="O9" s="8" t="str">
        <f>if(AND(I61 = 0, L61 = 0), "Pending", "")</f>
        <v/>
      </c>
      <c r="S9" s="17"/>
      <c r="T9" s="18" t="str">
        <f t="shared" si="1"/>
        <v>Ronald</v>
      </c>
      <c r="U9" s="20">
        <f>F42</f>
        <v>-1</v>
      </c>
      <c r="V9" s="20">
        <f>I82</f>
        <v>1</v>
      </c>
      <c r="W9" s="20">
        <f>L42</f>
        <v>1</v>
      </c>
      <c r="X9" s="20">
        <f>O102</f>
        <v>-1</v>
      </c>
      <c r="Y9" s="20">
        <f>F102</f>
        <v>-1</v>
      </c>
      <c r="Z9" s="27"/>
      <c r="AA9" s="21">
        <f t="shared" si="2"/>
        <v>2</v>
      </c>
      <c r="AB9" s="22">
        <f>Z10</f>
        <v>3</v>
      </c>
      <c r="AC9" s="22">
        <f t="shared" si="3"/>
        <v>2</v>
      </c>
      <c r="AD9" s="23">
        <f t="shared" si="4"/>
        <v>0.901</v>
      </c>
      <c r="AE9" s="9" t="str">
        <f t="shared" si="5"/>
        <v>Ronald</v>
      </c>
      <c r="AF9" s="13"/>
      <c r="AG9" s="24">
        <v>-5.1240000000000006</v>
      </c>
      <c r="AH9" s="30" t="s">
        <v>22</v>
      </c>
    </row>
    <row r="10" ht="12.75" customHeight="1">
      <c r="H10" s="32" t="s">
        <v>9</v>
      </c>
      <c r="L10" s="1" t="s">
        <v>23</v>
      </c>
      <c r="M10" s="6" t="str">
        <f>I65</f>
        <v>Eminence Bruin</v>
      </c>
      <c r="N10" s="7" t="str">
        <f>K65</f>
        <v>Ronald</v>
      </c>
      <c r="O10" s="8" t="str">
        <f>if(AND(I81 = 0, L81 = 0), "Pending", "")</f>
        <v/>
      </c>
      <c r="S10" s="17"/>
      <c r="T10" s="18" t="s">
        <v>24</v>
      </c>
      <c r="U10" s="11">
        <f t="shared" ref="U10:Z10" si="6">SUMIF(U4:U9, "&gt;0" ,U4:U9)</f>
        <v>2</v>
      </c>
      <c r="V10" s="11">
        <f t="shared" si="6"/>
        <v>3</v>
      </c>
      <c r="W10" s="11">
        <f t="shared" si="6"/>
        <v>3</v>
      </c>
      <c r="X10" s="11">
        <f t="shared" si="6"/>
        <v>2</v>
      </c>
      <c r="Y10" s="11">
        <f t="shared" si="6"/>
        <v>0</v>
      </c>
      <c r="Z10" s="11">
        <f t="shared" si="6"/>
        <v>3</v>
      </c>
      <c r="AA10" s="33"/>
      <c r="AB10" s="13"/>
      <c r="AC10" s="13"/>
      <c r="AD10" s="13"/>
      <c r="AE10" s="13"/>
      <c r="AF10" s="13"/>
      <c r="AG10" s="13"/>
      <c r="AH10" s="13"/>
    </row>
    <row r="11" ht="12.75" customHeight="1">
      <c r="H11" s="31" t="s">
        <v>15</v>
      </c>
      <c r="L11" s="1" t="s">
        <v>25</v>
      </c>
      <c r="M11" s="6" t="str">
        <f>I85</f>
        <v>Diego</v>
      </c>
      <c r="N11" s="7" t="str">
        <f>K85</f>
        <v>Tim the Burgundy Enchanter</v>
      </c>
      <c r="O11" s="8" t="str">
        <f>if(AND(I101 = 0, L101 = 0), "Pending", "")</f>
        <v/>
      </c>
      <c r="S11" s="1"/>
      <c r="T11" s="9"/>
      <c r="U11" s="11" t="str">
        <f t="shared" ref="U11:Z11" si="7">U3</f>
        <v>Diego</v>
      </c>
      <c r="V11" s="11" t="str">
        <f t="shared" si="7"/>
        <v>Eminence Bruin</v>
      </c>
      <c r="W11" s="11" t="str">
        <f t="shared" si="7"/>
        <v>Tim the Burgundy Enchanter</v>
      </c>
      <c r="X11" s="11" t="str">
        <f t="shared" si="7"/>
        <v>Teun</v>
      </c>
      <c r="Y11" s="11" t="str">
        <f t="shared" si="7"/>
        <v>Teake</v>
      </c>
      <c r="Z11" s="11" t="str">
        <f t="shared" si="7"/>
        <v>Ronald</v>
      </c>
      <c r="AA11" s="33"/>
      <c r="AB11" s="13"/>
      <c r="AC11" s="13"/>
      <c r="AD11" s="13"/>
      <c r="AE11" s="13"/>
      <c r="AF11" s="13"/>
      <c r="AG11" s="13"/>
      <c r="AH11" s="13"/>
    </row>
    <row r="12" ht="12.75" customHeight="1">
      <c r="H12" s="31" t="s">
        <v>22</v>
      </c>
      <c r="L12" s="1" t="s">
        <v>26</v>
      </c>
      <c r="M12" s="6" t="str">
        <f>I105</f>
        <v>Eminence Bruin</v>
      </c>
      <c r="N12" s="7" t="str">
        <f>K105</f>
        <v>Teun</v>
      </c>
      <c r="O12" s="8" t="str">
        <f>if(AND(I121 = 0, L121 = 0), "Pending", "")</f>
        <v/>
      </c>
      <c r="AA12" s="2"/>
    </row>
    <row r="13" ht="12.75" customHeight="1">
      <c r="H13" s="31" t="s">
        <v>18</v>
      </c>
      <c r="L13" s="1" t="s">
        <v>27</v>
      </c>
      <c r="M13" s="6" t="str">
        <f>O25</f>
        <v>Tim the Burgundy Enchanter</v>
      </c>
      <c r="N13" s="7" t="str">
        <f>Q25</f>
        <v>Teake</v>
      </c>
      <c r="O13" s="8" t="str">
        <f>if(AND(O41 = 0, R41 = 0), "Pending", "")</f>
        <v/>
      </c>
      <c r="S13" s="34"/>
      <c r="T13" s="35" t="s">
        <v>28</v>
      </c>
      <c r="U13" s="36" t="str">
        <f>T14</f>
        <v>Diego</v>
      </c>
      <c r="V13" s="37" t="str">
        <f>T15</f>
        <v>Eminence Bruin</v>
      </c>
      <c r="W13" s="36" t="str">
        <f>T16</f>
        <v>Tim the Burgundy Enchanter</v>
      </c>
      <c r="X13" s="37" t="str">
        <f>T17</f>
        <v>Teun</v>
      </c>
      <c r="Y13" s="36" t="str">
        <f>T18</f>
        <v>Teake</v>
      </c>
      <c r="Z13" s="37" t="str">
        <f>T19</f>
        <v>Ronald</v>
      </c>
      <c r="AA13" s="35" t="s">
        <v>28</v>
      </c>
      <c r="AB13" s="37"/>
      <c r="AC13" s="37"/>
      <c r="AD13" s="37" t="s">
        <v>5</v>
      </c>
      <c r="AE13" s="38"/>
      <c r="AF13" s="38"/>
      <c r="AG13" s="39" t="s">
        <v>6</v>
      </c>
      <c r="AH13" s="15"/>
      <c r="AI13" s="40" t="s">
        <v>29</v>
      </c>
    </row>
    <row r="14" ht="12.75" customHeight="1">
      <c r="L14" s="1" t="s">
        <v>30</v>
      </c>
      <c r="M14" s="6" t="str">
        <f>O45</f>
        <v>Diego</v>
      </c>
      <c r="N14" s="7" t="str">
        <f>Q45</f>
        <v>Teun</v>
      </c>
      <c r="O14" s="8" t="str">
        <f>if(AND(O61 = 0, R61 = 0), "Pending", "")</f>
        <v/>
      </c>
      <c r="S14" s="41"/>
      <c r="T14" s="42" t="str">
        <f t="shared" ref="T14:T19" si="8">H8</f>
        <v>Diego</v>
      </c>
      <c r="U14" s="43"/>
      <c r="V14" s="44">
        <f>E121</f>
        <v>2</v>
      </c>
      <c r="W14" s="44">
        <f>K101</f>
        <v>3</v>
      </c>
      <c r="X14" s="44">
        <f>Q61</f>
        <v>1</v>
      </c>
      <c r="Y14" s="44">
        <f>Q121</f>
        <v>2</v>
      </c>
      <c r="Z14" s="44">
        <f>D41</f>
        <v>3</v>
      </c>
      <c r="AA14" s="45">
        <f t="shared" ref="AA14:AA19" si="9">SUMIF(U14:Z14, "&gt;0")</f>
        <v>11</v>
      </c>
      <c r="AB14" s="46"/>
      <c r="AC14" s="46"/>
      <c r="AD14" s="46">
        <f t="shared" ref="AD14:AD19" si="10">-AA14</f>
        <v>-11</v>
      </c>
      <c r="AE14" s="47" t="str">
        <f t="shared" ref="AE14:AE19" si="11">T14</f>
        <v>Diego</v>
      </c>
      <c r="AF14" s="38"/>
      <c r="AG14" s="42">
        <f t="array" ref="AG14:AH19">SORT(AD14:AE19, 1, FALSE)</f>
        <v>-7</v>
      </c>
      <c r="AH14" s="48" t="s">
        <v>9</v>
      </c>
      <c r="AI14" s="49" t="s">
        <v>10</v>
      </c>
    </row>
    <row r="15" ht="12.75" customHeight="1">
      <c r="L15" s="1" t="s">
        <v>31</v>
      </c>
      <c r="M15" s="6" t="str">
        <f>O65</f>
        <v>Eminence Bruin</v>
      </c>
      <c r="N15" s="7" t="str">
        <f>Q65</f>
        <v>Tim the Burgundy Enchanter</v>
      </c>
      <c r="O15" s="8" t="str">
        <f>if(AND(O81 = 0, R81 = 0), "Pending", "")</f>
        <v/>
      </c>
      <c r="S15" s="41"/>
      <c r="T15" s="42" t="str">
        <f t="shared" si="8"/>
        <v>Eminence Bruin</v>
      </c>
      <c r="U15" s="44">
        <f>D121</f>
        <v>2</v>
      </c>
      <c r="V15" s="43"/>
      <c r="W15" s="44">
        <f>Q81</f>
        <v>3</v>
      </c>
      <c r="X15" s="44">
        <f>K121</f>
        <v>3</v>
      </c>
      <c r="Y15" s="44">
        <f>E61</f>
        <v>1</v>
      </c>
      <c r="Z15" s="44">
        <f>K81</f>
        <v>3</v>
      </c>
      <c r="AA15" s="45">
        <f t="shared" si="9"/>
        <v>12</v>
      </c>
      <c r="AB15" s="46"/>
      <c r="AC15" s="46"/>
      <c r="AD15" s="46">
        <f t="shared" si="10"/>
        <v>-12</v>
      </c>
      <c r="AE15" s="47" t="str">
        <f t="shared" si="11"/>
        <v>Eminence Bruin</v>
      </c>
      <c r="AF15" s="38"/>
      <c r="AG15" s="42">
        <v>-7.0</v>
      </c>
      <c r="AH15" s="48" t="s">
        <v>15</v>
      </c>
      <c r="AI15" s="49" t="s">
        <v>10</v>
      </c>
    </row>
    <row r="16" ht="12.75" customHeight="1">
      <c r="L16" s="1" t="s">
        <v>32</v>
      </c>
      <c r="M16" s="6" t="str">
        <f>O85</f>
        <v>Teun</v>
      </c>
      <c r="N16" s="7" t="str">
        <f>Q85</f>
        <v>Ronald</v>
      </c>
      <c r="O16" s="8" t="str">
        <f>if(AND(O101 = 0, R101 = 0), "Pending", "")</f>
        <v/>
      </c>
      <c r="S16" s="41"/>
      <c r="T16" s="42" t="str">
        <f t="shared" si="8"/>
        <v>Tim the Burgundy Enchanter</v>
      </c>
      <c r="U16" s="44">
        <f>J101</f>
        <v>3</v>
      </c>
      <c r="V16" s="44">
        <f>P81</f>
        <v>3</v>
      </c>
      <c r="W16" s="43"/>
      <c r="X16" s="44">
        <f>E81</f>
        <v>1</v>
      </c>
      <c r="Y16" s="44">
        <f>Q41</f>
        <v>0</v>
      </c>
      <c r="Z16" s="44">
        <f>J41</f>
        <v>0</v>
      </c>
      <c r="AA16" s="45">
        <f t="shared" si="9"/>
        <v>7</v>
      </c>
      <c r="AB16" s="46"/>
      <c r="AC16" s="46"/>
      <c r="AD16" s="46">
        <f t="shared" si="10"/>
        <v>-7</v>
      </c>
      <c r="AE16" s="47" t="str">
        <f t="shared" si="11"/>
        <v>Tim the Burgundy Enchanter</v>
      </c>
      <c r="AF16" s="38"/>
      <c r="AG16" s="42">
        <v>-7.0</v>
      </c>
      <c r="AH16" s="47" t="s">
        <v>22</v>
      </c>
      <c r="AI16" s="49" t="s">
        <v>16</v>
      </c>
    </row>
    <row r="17" ht="12.75" customHeight="1">
      <c r="L17" s="1" t="s">
        <v>33</v>
      </c>
      <c r="M17" s="6" t="str">
        <f>O105</f>
        <v>Diego</v>
      </c>
      <c r="N17" s="7" t="str">
        <f>Q105</f>
        <v>Teake</v>
      </c>
      <c r="O17" s="8" t="str">
        <f>if(AND(O121 = 0, R121 = 0), "Pending", "")</f>
        <v/>
      </c>
      <c r="S17" s="41"/>
      <c r="T17" s="42" t="str">
        <f t="shared" si="8"/>
        <v>Teun</v>
      </c>
      <c r="U17" s="44">
        <f>P61</f>
        <v>1</v>
      </c>
      <c r="V17" s="44">
        <f>J121</f>
        <v>3</v>
      </c>
      <c r="W17" s="44">
        <f>D81</f>
        <v>1</v>
      </c>
      <c r="X17" s="43"/>
      <c r="Y17" s="44">
        <f>K61</f>
        <v>1</v>
      </c>
      <c r="Z17" s="44">
        <f>Q101</f>
        <v>1</v>
      </c>
      <c r="AA17" s="45">
        <f t="shared" si="9"/>
        <v>7</v>
      </c>
      <c r="AB17" s="46"/>
      <c r="AC17" s="46"/>
      <c r="AD17" s="46">
        <f t="shared" si="10"/>
        <v>-7</v>
      </c>
      <c r="AE17" s="47" t="str">
        <f t="shared" si="11"/>
        <v>Teun</v>
      </c>
      <c r="AF17" s="38"/>
      <c r="AG17" s="42">
        <v>-10.0</v>
      </c>
      <c r="AH17" s="50" t="s">
        <v>18</v>
      </c>
      <c r="AI17" s="49"/>
    </row>
    <row r="18" ht="12.75" customHeight="1">
      <c r="S18" s="41"/>
      <c r="T18" s="42" t="str">
        <f t="shared" si="8"/>
        <v>Teake</v>
      </c>
      <c r="U18" s="44">
        <f>P121</f>
        <v>2</v>
      </c>
      <c r="V18" s="44">
        <f>D61</f>
        <v>1</v>
      </c>
      <c r="W18" s="44">
        <f>P41</f>
        <v>0</v>
      </c>
      <c r="X18" s="44">
        <f>J61</f>
        <v>1</v>
      </c>
      <c r="Y18" s="43"/>
      <c r="Z18" s="44">
        <f>D101</f>
        <v>3</v>
      </c>
      <c r="AA18" s="45">
        <f t="shared" si="9"/>
        <v>7</v>
      </c>
      <c r="AB18" s="46"/>
      <c r="AC18" s="46"/>
      <c r="AD18" s="46">
        <f t="shared" si="10"/>
        <v>-7</v>
      </c>
      <c r="AE18" s="47" t="str">
        <f t="shared" si="11"/>
        <v>Teake</v>
      </c>
      <c r="AF18" s="38"/>
      <c r="AG18" s="42">
        <v>-11.0</v>
      </c>
      <c r="AH18" s="50" t="s">
        <v>19</v>
      </c>
      <c r="AI18" s="49"/>
    </row>
    <row r="19" ht="12.75" customHeight="1">
      <c r="S19" s="41"/>
      <c r="T19" s="42" t="str">
        <f t="shared" si="8"/>
        <v>Ronald</v>
      </c>
      <c r="U19" s="44">
        <f>E41</f>
        <v>3</v>
      </c>
      <c r="V19" s="44">
        <f>J81</f>
        <v>3</v>
      </c>
      <c r="W19" s="44">
        <f>K41</f>
        <v>0</v>
      </c>
      <c r="X19" s="44">
        <f>P101</f>
        <v>1</v>
      </c>
      <c r="Y19" s="44">
        <f>E101</f>
        <v>3</v>
      </c>
      <c r="Z19" s="43"/>
      <c r="AA19" s="45">
        <f t="shared" si="9"/>
        <v>10</v>
      </c>
      <c r="AB19" s="46"/>
      <c r="AC19" s="46"/>
      <c r="AD19" s="46">
        <f t="shared" si="10"/>
        <v>-10</v>
      </c>
      <c r="AE19" s="47" t="str">
        <f t="shared" si="11"/>
        <v>Ronald</v>
      </c>
      <c r="AF19" s="38"/>
      <c r="AG19" s="42">
        <v>-12.0</v>
      </c>
      <c r="AH19" s="50" t="s">
        <v>12</v>
      </c>
      <c r="AI19" s="49"/>
    </row>
    <row r="20" ht="12.75" customHeight="1">
      <c r="S20" s="41"/>
      <c r="T20" s="51" t="s">
        <v>28</v>
      </c>
      <c r="U20" s="37">
        <f t="shared" ref="U20:Z20" si="12">SUM(U14:U19)</f>
        <v>11</v>
      </c>
      <c r="V20" s="37">
        <f t="shared" si="12"/>
        <v>12</v>
      </c>
      <c r="W20" s="37">
        <f t="shared" si="12"/>
        <v>7</v>
      </c>
      <c r="X20" s="37">
        <f t="shared" si="12"/>
        <v>7</v>
      </c>
      <c r="Y20" s="37">
        <f t="shared" si="12"/>
        <v>7</v>
      </c>
      <c r="Z20" s="37">
        <f t="shared" si="12"/>
        <v>10</v>
      </c>
      <c r="AA20" s="38"/>
      <c r="AB20" s="38"/>
      <c r="AC20" s="38"/>
      <c r="AD20" s="38"/>
      <c r="AE20" s="38"/>
      <c r="AF20" s="38"/>
      <c r="AG20" s="38"/>
      <c r="AH20" s="38"/>
      <c r="AI20" s="49"/>
    </row>
    <row r="21" ht="12.75" customHeight="1">
      <c r="S21" s="49"/>
      <c r="T21" s="38"/>
      <c r="U21" s="37" t="str">
        <f t="shared" ref="U21:Z21" si="13">U13</f>
        <v>Diego</v>
      </c>
      <c r="V21" s="37" t="str">
        <f t="shared" si="13"/>
        <v>Eminence Bruin</v>
      </c>
      <c r="W21" s="37" t="str">
        <f t="shared" si="13"/>
        <v>Tim the Burgundy Enchanter</v>
      </c>
      <c r="X21" s="37" t="str">
        <f t="shared" si="13"/>
        <v>Teun</v>
      </c>
      <c r="Y21" s="37" t="str">
        <f t="shared" si="13"/>
        <v>Teake</v>
      </c>
      <c r="Z21" s="37" t="str">
        <f t="shared" si="13"/>
        <v>Ronald</v>
      </c>
      <c r="AA21" s="38"/>
      <c r="AB21" s="38"/>
      <c r="AC21" s="38"/>
      <c r="AD21" s="38"/>
      <c r="AE21" s="38"/>
      <c r="AF21" s="38"/>
      <c r="AG21" s="38"/>
      <c r="AH21" s="38"/>
      <c r="AI21" s="49"/>
    </row>
    <row r="22" ht="12.75" customHeight="1">
      <c r="AD22" s="52">
        <v>50.0</v>
      </c>
    </row>
    <row r="23" ht="12.75" customHeight="1">
      <c r="A23" s="17"/>
      <c r="B23" s="18"/>
      <c r="C23" s="9"/>
      <c r="D23" s="53" t="s">
        <v>13</v>
      </c>
      <c r="E23" s="15"/>
      <c r="F23" s="12"/>
      <c r="H23" s="18"/>
      <c r="I23" s="9"/>
      <c r="J23" s="53" t="s">
        <v>13</v>
      </c>
      <c r="K23" s="15"/>
      <c r="L23" s="12"/>
      <c r="N23" s="18"/>
      <c r="O23" s="9"/>
      <c r="P23" s="53" t="s">
        <v>13</v>
      </c>
      <c r="Q23" s="15"/>
      <c r="R23" s="54"/>
      <c r="S23" s="1"/>
      <c r="T23" s="55" t="s">
        <v>34</v>
      </c>
      <c r="U23" s="10" t="str">
        <f>T24</f>
        <v>Diego</v>
      </c>
      <c r="V23" s="11" t="str">
        <f>T25</f>
        <v>Eminence Bruin</v>
      </c>
      <c r="W23" s="10" t="str">
        <f>T26</f>
        <v>Tim the Burgundy Enchanter</v>
      </c>
      <c r="X23" s="11" t="str">
        <f>T27</f>
        <v>Teun</v>
      </c>
      <c r="Y23" s="10" t="str">
        <f>T28</f>
        <v>Teake</v>
      </c>
      <c r="Z23" s="11" t="str">
        <f>T29</f>
        <v>Ronald</v>
      </c>
      <c r="AA23" s="12" t="s">
        <v>35</v>
      </c>
      <c r="AB23" s="11" t="s">
        <v>3</v>
      </c>
      <c r="AC23" s="11" t="s">
        <v>4</v>
      </c>
      <c r="AD23" s="11" t="s">
        <v>5</v>
      </c>
      <c r="AE23" s="13"/>
      <c r="AF23" s="13"/>
      <c r="AG23" s="14" t="s">
        <v>6</v>
      </c>
      <c r="AH23" s="15"/>
      <c r="AI23" s="56" t="s">
        <v>29</v>
      </c>
    </row>
    <row r="24" ht="12.75" customHeight="1">
      <c r="S24" s="17"/>
      <c r="T24" s="57" t="str">
        <f t="shared" ref="T24:T29" si="14">H8</f>
        <v>Diego</v>
      </c>
      <c r="U24" s="19"/>
      <c r="V24" s="20">
        <f>F121</f>
        <v>6</v>
      </c>
      <c r="W24" s="20">
        <f>L101</f>
        <v>7</v>
      </c>
      <c r="X24" s="20">
        <f>R61</f>
        <v>12</v>
      </c>
      <c r="Y24" s="20">
        <f>R121</f>
        <v>2</v>
      </c>
      <c r="Z24" s="20">
        <f>C41</f>
        <v>9</v>
      </c>
      <c r="AA24" s="21">
        <f t="shared" ref="AA24:AA29" si="15">SUMIF(U24:Z24, "&gt;0")</f>
        <v>36</v>
      </c>
      <c r="AB24" s="22">
        <f>U30</f>
        <v>47</v>
      </c>
      <c r="AC24" s="22">
        <f t="shared" ref="AC24:AC29" si="16">AA24</f>
        <v>36</v>
      </c>
      <c r="AD24" s="22">
        <f t="shared" ref="AD24:AD29" si="17">AB24-AC24</f>
        <v>11</v>
      </c>
      <c r="AE24" s="9" t="str">
        <f t="shared" ref="AE24:AE29" si="18">T24</f>
        <v>Diego</v>
      </c>
      <c r="AF24" s="13"/>
      <c r="AG24" s="9">
        <f t="array" ref="AG24:AH29">SORT(AD24:AE29, 1, FALSE)</f>
        <v>23</v>
      </c>
      <c r="AH24" s="25" t="s">
        <v>9</v>
      </c>
      <c r="AI24" s="8" t="s">
        <v>10</v>
      </c>
    </row>
    <row r="25" ht="12.75" customHeight="1">
      <c r="A25" s="17"/>
      <c r="B25" s="18" t="s">
        <v>0</v>
      </c>
      <c r="C25" s="58" t="str">
        <f>T29</f>
        <v>Ronald</v>
      </c>
      <c r="D25" s="15"/>
      <c r="E25" s="59" t="str">
        <f>T24</f>
        <v>Diego</v>
      </c>
      <c r="F25" s="15"/>
      <c r="H25" s="18" t="s">
        <v>20</v>
      </c>
      <c r="I25" s="58" t="str">
        <f>T29</f>
        <v>Ronald</v>
      </c>
      <c r="J25" s="15"/>
      <c r="K25" s="59" t="str">
        <f>T26</f>
        <v>Tim the Burgundy Enchanter</v>
      </c>
      <c r="L25" s="15"/>
      <c r="N25" s="18" t="s">
        <v>27</v>
      </c>
      <c r="O25" s="58" t="str">
        <f>T26</f>
        <v>Tim the Burgundy Enchanter</v>
      </c>
      <c r="P25" s="15"/>
      <c r="Q25" s="59" t="str">
        <f>T28</f>
        <v>Teake</v>
      </c>
      <c r="R25" s="15"/>
      <c r="S25" s="17"/>
      <c r="T25" s="57" t="str">
        <f t="shared" si="14"/>
        <v>Eminence Bruin</v>
      </c>
      <c r="U25" s="20">
        <f>C121</f>
        <v>10</v>
      </c>
      <c r="V25" s="27"/>
      <c r="W25" s="20">
        <f>R81</f>
        <v>6</v>
      </c>
      <c r="X25" s="20">
        <f>L121</f>
        <v>7</v>
      </c>
      <c r="Y25" s="20">
        <f>F61</f>
        <v>4</v>
      </c>
      <c r="Z25" s="20">
        <f>L81</f>
        <v>8</v>
      </c>
      <c r="AA25" s="21">
        <f t="shared" si="15"/>
        <v>35</v>
      </c>
      <c r="AB25" s="22">
        <f>V30</f>
        <v>42</v>
      </c>
      <c r="AC25" s="22">
        <f t="shared" si="16"/>
        <v>35</v>
      </c>
      <c r="AD25" s="22">
        <f t="shared" si="17"/>
        <v>7</v>
      </c>
      <c r="AE25" s="9" t="str">
        <f t="shared" si="18"/>
        <v>Eminence Bruin</v>
      </c>
      <c r="AF25" s="13"/>
      <c r="AG25" s="9">
        <v>12.0</v>
      </c>
      <c r="AH25" s="25" t="s">
        <v>15</v>
      </c>
      <c r="AI25" s="8" t="s">
        <v>10</v>
      </c>
    </row>
    <row r="26" ht="12.75" customHeight="1">
      <c r="A26" s="17"/>
      <c r="B26" s="18" t="s">
        <v>36</v>
      </c>
      <c r="C26" s="13" t="str">
        <f t="shared" ref="C26:C40" si="19">IF(AND(D26&gt;0,E26&gt;0), 0, D26)</f>
        <v/>
      </c>
      <c r="D26" s="60"/>
      <c r="E26" s="61">
        <v>2.0</v>
      </c>
      <c r="F26" s="62">
        <f t="shared" ref="F26:F40" si="20">IF(AND(D26&gt;0,E26&gt;0), 0, E26)</f>
        <v>2</v>
      </c>
      <c r="H26" s="18" t="s">
        <v>36</v>
      </c>
      <c r="I26" s="13" t="str">
        <f t="shared" ref="I26:I40" si="21">IF(AND(J26&gt;0,K26&gt;0), 0, J26)</f>
        <v/>
      </c>
      <c r="J26" s="60"/>
      <c r="K26" s="61">
        <v>2.0</v>
      </c>
      <c r="L26" s="62">
        <f t="shared" ref="L26:L40" si="22">IF(AND(J26&gt;0,K26&gt;0), 0, K26)</f>
        <v>2</v>
      </c>
      <c r="N26" s="18" t="s">
        <v>36</v>
      </c>
      <c r="O26" s="13">
        <f t="shared" ref="O26:O40" si="23">IF(AND(P26&gt;0,Q26&gt;0), 0, P26)</f>
        <v>2</v>
      </c>
      <c r="P26" s="60">
        <v>2.0</v>
      </c>
      <c r="Q26" s="61"/>
      <c r="R26" s="63" t="str">
        <f t="shared" ref="R26:R40" si="24">IF(AND(P26&gt;0,Q26&gt;0), 0, Q26)</f>
        <v/>
      </c>
      <c r="S26" s="17"/>
      <c r="T26" s="57" t="str">
        <f t="shared" si="14"/>
        <v>Tim the Burgundy Enchanter</v>
      </c>
      <c r="U26" s="20">
        <f>I101</f>
        <v>3</v>
      </c>
      <c r="V26" s="20">
        <f>O81</f>
        <v>9</v>
      </c>
      <c r="W26" s="27"/>
      <c r="X26" s="20">
        <f>F81</f>
        <v>12</v>
      </c>
      <c r="Y26" s="20">
        <f>R41</f>
        <v>5</v>
      </c>
      <c r="Z26" s="20">
        <f>I41</f>
        <v>8</v>
      </c>
      <c r="AA26" s="21">
        <f t="shared" si="15"/>
        <v>37</v>
      </c>
      <c r="AB26" s="22">
        <f>W30</f>
        <v>60</v>
      </c>
      <c r="AC26" s="22">
        <f t="shared" si="16"/>
        <v>37</v>
      </c>
      <c r="AD26" s="22">
        <f t="shared" si="17"/>
        <v>23</v>
      </c>
      <c r="AE26" s="9" t="str">
        <f t="shared" si="18"/>
        <v>Tim the Burgundy Enchanter</v>
      </c>
      <c r="AF26" s="13"/>
      <c r="AG26" s="9">
        <v>11.0</v>
      </c>
      <c r="AH26" s="9" t="s">
        <v>19</v>
      </c>
      <c r="AI26" s="8" t="s">
        <v>16</v>
      </c>
    </row>
    <row r="27" ht="12.75" customHeight="1">
      <c r="A27" s="17"/>
      <c r="B27" s="18" t="s">
        <v>37</v>
      </c>
      <c r="C27" s="13">
        <f t="shared" si="19"/>
        <v>1</v>
      </c>
      <c r="D27" s="60">
        <v>1.0</v>
      </c>
      <c r="E27" s="61"/>
      <c r="F27" s="62" t="str">
        <f t="shared" si="20"/>
        <v/>
      </c>
      <c r="H27" s="18" t="s">
        <v>37</v>
      </c>
      <c r="I27" s="13">
        <f t="shared" si="21"/>
        <v>2</v>
      </c>
      <c r="J27" s="60">
        <v>2.0</v>
      </c>
      <c r="K27" s="64"/>
      <c r="L27" s="62" t="str">
        <f t="shared" si="22"/>
        <v/>
      </c>
      <c r="N27" s="18" t="s">
        <v>37</v>
      </c>
      <c r="O27" s="13">
        <f t="shared" si="23"/>
        <v>2</v>
      </c>
      <c r="P27" s="60">
        <v>2.0</v>
      </c>
      <c r="Q27" s="64"/>
      <c r="R27" s="63" t="str">
        <f t="shared" si="24"/>
        <v/>
      </c>
      <c r="S27" s="17"/>
      <c r="T27" s="57" t="str">
        <f t="shared" si="14"/>
        <v>Teun</v>
      </c>
      <c r="U27" s="20">
        <f>O61</f>
        <v>4</v>
      </c>
      <c r="V27" s="20">
        <f>I121</f>
        <v>7</v>
      </c>
      <c r="W27" s="20">
        <f>C81</f>
        <v>12</v>
      </c>
      <c r="X27" s="27"/>
      <c r="Y27" s="20">
        <f>L61</f>
        <v>3</v>
      </c>
      <c r="Z27" s="20">
        <f>R101</f>
        <v>10</v>
      </c>
      <c r="AA27" s="21">
        <f t="shared" si="15"/>
        <v>36</v>
      </c>
      <c r="AB27" s="22">
        <f>X30</f>
        <v>48</v>
      </c>
      <c r="AC27" s="22">
        <f t="shared" si="16"/>
        <v>36</v>
      </c>
      <c r="AD27" s="22">
        <f t="shared" si="17"/>
        <v>12</v>
      </c>
      <c r="AE27" s="9" t="str">
        <f t="shared" si="18"/>
        <v>Teun</v>
      </c>
      <c r="AF27" s="13"/>
      <c r="AG27" s="9">
        <v>7.0</v>
      </c>
      <c r="AH27" s="30" t="s">
        <v>12</v>
      </c>
    </row>
    <row r="28" ht="12.75" customHeight="1">
      <c r="A28" s="17"/>
      <c r="B28" s="18" t="s">
        <v>38</v>
      </c>
      <c r="C28" s="13">
        <f t="shared" si="19"/>
        <v>0</v>
      </c>
      <c r="D28" s="60">
        <v>2.0</v>
      </c>
      <c r="E28" s="61">
        <v>3.0</v>
      </c>
      <c r="F28" s="62">
        <f t="shared" si="20"/>
        <v>0</v>
      </c>
      <c r="H28" s="18" t="s">
        <v>38</v>
      </c>
      <c r="I28" s="13">
        <f t="shared" si="21"/>
        <v>3</v>
      </c>
      <c r="J28" s="60">
        <v>3.0</v>
      </c>
      <c r="K28" s="61"/>
      <c r="L28" s="62" t="str">
        <f t="shared" si="22"/>
        <v/>
      </c>
      <c r="N28" s="18" t="s">
        <v>38</v>
      </c>
      <c r="O28" s="13" t="str">
        <f t="shared" si="23"/>
        <v/>
      </c>
      <c r="P28" s="60"/>
      <c r="Q28" s="61">
        <v>3.0</v>
      </c>
      <c r="R28" s="63">
        <f t="shared" si="24"/>
        <v>3</v>
      </c>
      <c r="S28" s="17"/>
      <c r="T28" s="57" t="str">
        <f t="shared" si="14"/>
        <v>Teake</v>
      </c>
      <c r="U28" s="20">
        <f>O121</f>
        <v>22</v>
      </c>
      <c r="V28" s="20">
        <f>C61</f>
        <v>11</v>
      </c>
      <c r="W28" s="20">
        <f>O41</f>
        <v>18</v>
      </c>
      <c r="X28" s="20">
        <f>I61</f>
        <v>11</v>
      </c>
      <c r="Y28" s="27"/>
      <c r="Z28" s="20">
        <f>C101</f>
        <v>11</v>
      </c>
      <c r="AA28" s="21">
        <f t="shared" si="15"/>
        <v>73</v>
      </c>
      <c r="AB28" s="22">
        <f>Y30</f>
        <v>19</v>
      </c>
      <c r="AC28" s="22">
        <f t="shared" si="16"/>
        <v>73</v>
      </c>
      <c r="AD28" s="22">
        <f t="shared" si="17"/>
        <v>-54</v>
      </c>
      <c r="AE28" s="9" t="str">
        <f t="shared" si="18"/>
        <v>Teake</v>
      </c>
      <c r="AF28" s="13"/>
      <c r="AG28" s="9">
        <v>1.0</v>
      </c>
      <c r="AH28" s="30" t="s">
        <v>18</v>
      </c>
    </row>
    <row r="29" ht="12.75" customHeight="1">
      <c r="A29" s="17"/>
      <c r="B29" s="18" t="s">
        <v>39</v>
      </c>
      <c r="C29" s="13" t="str">
        <f t="shared" si="19"/>
        <v/>
      </c>
      <c r="D29" s="60"/>
      <c r="E29" s="61">
        <v>2.0</v>
      </c>
      <c r="F29" s="62">
        <f t="shared" si="20"/>
        <v>2</v>
      </c>
      <c r="H29" s="18" t="s">
        <v>39</v>
      </c>
      <c r="I29" s="13" t="str">
        <f t="shared" si="21"/>
        <v/>
      </c>
      <c r="J29" s="65"/>
      <c r="K29" s="61">
        <v>3.0</v>
      </c>
      <c r="L29" s="62">
        <f t="shared" si="22"/>
        <v>3</v>
      </c>
      <c r="N29" s="18" t="s">
        <v>39</v>
      </c>
      <c r="O29" s="13">
        <f t="shared" si="23"/>
        <v>2</v>
      </c>
      <c r="P29" s="60">
        <v>2.0</v>
      </c>
      <c r="Q29" s="64"/>
      <c r="R29" s="63" t="str">
        <f t="shared" si="24"/>
        <v/>
      </c>
      <c r="S29" s="17"/>
      <c r="T29" s="57" t="str">
        <f t="shared" si="14"/>
        <v>Ronald</v>
      </c>
      <c r="U29" s="20">
        <f>F41</f>
        <v>8</v>
      </c>
      <c r="V29" s="20">
        <f>I81</f>
        <v>9</v>
      </c>
      <c r="W29" s="20">
        <f>L41</f>
        <v>17</v>
      </c>
      <c r="X29" s="20">
        <f>O101</f>
        <v>6</v>
      </c>
      <c r="Y29" s="20">
        <f>F101</f>
        <v>5</v>
      </c>
      <c r="Z29" s="27"/>
      <c r="AA29" s="21">
        <f t="shared" si="15"/>
        <v>45</v>
      </c>
      <c r="AB29" s="22">
        <f>Z30</f>
        <v>46</v>
      </c>
      <c r="AC29" s="22">
        <f t="shared" si="16"/>
        <v>45</v>
      </c>
      <c r="AD29" s="22">
        <f t="shared" si="17"/>
        <v>1</v>
      </c>
      <c r="AE29" s="9" t="str">
        <f t="shared" si="18"/>
        <v>Ronald</v>
      </c>
      <c r="AF29" s="13"/>
      <c r="AG29" s="9">
        <v>-54.0</v>
      </c>
      <c r="AH29" s="30" t="s">
        <v>22</v>
      </c>
    </row>
    <row r="30" ht="12.75" customHeight="1">
      <c r="A30" s="17"/>
      <c r="B30" s="18" t="s">
        <v>40</v>
      </c>
      <c r="C30" s="13" t="str">
        <f t="shared" si="19"/>
        <v/>
      </c>
      <c r="D30" s="60"/>
      <c r="E30" s="61">
        <v>2.0</v>
      </c>
      <c r="F30" s="62">
        <f t="shared" si="20"/>
        <v>2</v>
      </c>
      <c r="H30" s="18" t="s">
        <v>40</v>
      </c>
      <c r="I30" s="13" t="str">
        <f t="shared" si="21"/>
        <v/>
      </c>
      <c r="J30" s="65"/>
      <c r="K30" s="61">
        <v>2.0</v>
      </c>
      <c r="L30" s="62">
        <f t="shared" si="22"/>
        <v>2</v>
      </c>
      <c r="N30" s="18" t="s">
        <v>40</v>
      </c>
      <c r="O30" s="13" t="str">
        <f t="shared" si="23"/>
        <v/>
      </c>
      <c r="P30" s="66"/>
      <c r="Q30" s="67">
        <v>2.0</v>
      </c>
      <c r="R30" s="63">
        <f t="shared" si="24"/>
        <v>2</v>
      </c>
      <c r="S30" s="17"/>
      <c r="T30" s="57" t="s">
        <v>41</v>
      </c>
      <c r="U30" s="11">
        <f t="shared" ref="U30:Z30" si="25">SUM(U24:U29)</f>
        <v>47</v>
      </c>
      <c r="V30" s="11">
        <f t="shared" si="25"/>
        <v>42</v>
      </c>
      <c r="W30" s="11">
        <f t="shared" si="25"/>
        <v>60</v>
      </c>
      <c r="X30" s="11">
        <f t="shared" si="25"/>
        <v>48</v>
      </c>
      <c r="Y30" s="11">
        <f t="shared" si="25"/>
        <v>19</v>
      </c>
      <c r="Z30" s="11">
        <f t="shared" si="25"/>
        <v>46</v>
      </c>
      <c r="AA30" s="33"/>
      <c r="AB30" s="13"/>
      <c r="AC30" s="13"/>
      <c r="AD30" s="13"/>
      <c r="AE30" s="13"/>
      <c r="AF30" s="13"/>
      <c r="AG30" s="13"/>
      <c r="AH30" s="13"/>
    </row>
    <row r="31" ht="12.75" customHeight="1">
      <c r="A31" s="17"/>
      <c r="B31" s="18" t="s">
        <v>42</v>
      </c>
      <c r="C31" s="13">
        <f t="shared" si="19"/>
        <v>0</v>
      </c>
      <c r="D31" s="60">
        <v>2.0</v>
      </c>
      <c r="E31" s="61">
        <v>2.0</v>
      </c>
      <c r="F31" s="62">
        <f t="shared" si="20"/>
        <v>0</v>
      </c>
      <c r="H31" s="18" t="s">
        <v>42</v>
      </c>
      <c r="I31" s="13" t="str">
        <f t="shared" si="21"/>
        <v/>
      </c>
      <c r="J31" s="65"/>
      <c r="K31" s="61">
        <v>2.0</v>
      </c>
      <c r="L31" s="62">
        <f t="shared" si="22"/>
        <v>2</v>
      </c>
      <c r="N31" s="18" t="s">
        <v>42</v>
      </c>
      <c r="O31" s="13">
        <f t="shared" si="23"/>
        <v>2</v>
      </c>
      <c r="P31" s="68">
        <v>2.0</v>
      </c>
      <c r="Q31" s="69"/>
      <c r="R31" s="63" t="str">
        <f t="shared" si="24"/>
        <v/>
      </c>
      <c r="S31" s="1"/>
      <c r="T31" s="55"/>
      <c r="U31" s="11" t="str">
        <f t="shared" ref="U31:Z31" si="26">U23</f>
        <v>Diego</v>
      </c>
      <c r="V31" s="11" t="str">
        <f t="shared" si="26"/>
        <v>Eminence Bruin</v>
      </c>
      <c r="W31" s="11" t="str">
        <f t="shared" si="26"/>
        <v>Tim the Burgundy Enchanter</v>
      </c>
      <c r="X31" s="11" t="str">
        <f t="shared" si="26"/>
        <v>Teun</v>
      </c>
      <c r="Y31" s="11" t="str">
        <f t="shared" si="26"/>
        <v>Teake</v>
      </c>
      <c r="Z31" s="11" t="str">
        <f t="shared" si="26"/>
        <v>Ronald</v>
      </c>
      <c r="AA31" s="33"/>
      <c r="AB31" s="13"/>
      <c r="AC31" s="13"/>
      <c r="AD31" s="13"/>
      <c r="AE31" s="13"/>
      <c r="AF31" s="13"/>
      <c r="AG31" s="13"/>
      <c r="AH31" s="13"/>
    </row>
    <row r="32" ht="12.75" customHeight="1">
      <c r="A32" s="17"/>
      <c r="B32" s="18" t="s">
        <v>43</v>
      </c>
      <c r="C32" s="13">
        <f t="shared" si="19"/>
        <v>3</v>
      </c>
      <c r="D32" s="60">
        <v>3.0</v>
      </c>
      <c r="E32" s="61"/>
      <c r="F32" s="62" t="str">
        <f t="shared" si="20"/>
        <v/>
      </c>
      <c r="H32" s="18" t="s">
        <v>43</v>
      </c>
      <c r="I32" s="13" t="str">
        <f t="shared" si="21"/>
        <v/>
      </c>
      <c r="J32" s="60"/>
      <c r="K32" s="61">
        <v>2.0</v>
      </c>
      <c r="L32" s="62">
        <f t="shared" si="22"/>
        <v>2</v>
      </c>
      <c r="N32" s="18" t="s">
        <v>43</v>
      </c>
      <c r="O32" s="13">
        <f t="shared" si="23"/>
        <v>2</v>
      </c>
      <c r="P32" s="68">
        <v>2.0</v>
      </c>
      <c r="Q32" s="69"/>
      <c r="R32" s="62" t="str">
        <f t="shared" si="24"/>
        <v/>
      </c>
      <c r="AA32" s="2"/>
      <c r="AD32" s="52">
        <v>100.0</v>
      </c>
    </row>
    <row r="33" ht="12.75" customHeight="1">
      <c r="A33" s="17"/>
      <c r="B33" s="18" t="s">
        <v>44</v>
      </c>
      <c r="C33" s="13" t="str">
        <f t="shared" si="19"/>
        <v/>
      </c>
      <c r="D33" s="65"/>
      <c r="E33" s="61">
        <v>2.0</v>
      </c>
      <c r="F33" s="62">
        <f t="shared" si="20"/>
        <v>2</v>
      </c>
      <c r="H33" s="18" t="s">
        <v>44</v>
      </c>
      <c r="I33" s="13" t="str">
        <f t="shared" si="21"/>
        <v/>
      </c>
      <c r="J33" s="65"/>
      <c r="K33" s="61">
        <v>2.0</v>
      </c>
      <c r="L33" s="62">
        <f t="shared" si="22"/>
        <v>2</v>
      </c>
      <c r="N33" s="18" t="s">
        <v>44</v>
      </c>
      <c r="O33" s="13">
        <f t="shared" si="23"/>
        <v>2</v>
      </c>
      <c r="P33" s="68">
        <v>2.0</v>
      </c>
      <c r="Q33" s="69"/>
      <c r="R33" s="62" t="str">
        <f t="shared" si="24"/>
        <v/>
      </c>
      <c r="AA33" s="2"/>
    </row>
    <row r="34" ht="12.75" customHeight="1">
      <c r="A34" s="17"/>
      <c r="B34" s="18" t="s">
        <v>45</v>
      </c>
      <c r="C34" s="13">
        <f t="shared" si="19"/>
        <v>0</v>
      </c>
      <c r="D34" s="60">
        <v>2.0</v>
      </c>
      <c r="E34" s="61">
        <v>2.0</v>
      </c>
      <c r="F34" s="62">
        <f t="shared" si="20"/>
        <v>0</v>
      </c>
      <c r="H34" s="18" t="s">
        <v>45</v>
      </c>
      <c r="I34" s="13" t="str">
        <f t="shared" si="21"/>
        <v/>
      </c>
      <c r="J34" s="65"/>
      <c r="K34" s="61">
        <v>2.0</v>
      </c>
      <c r="L34" s="62">
        <f t="shared" si="22"/>
        <v>2</v>
      </c>
      <c r="N34" s="18" t="s">
        <v>45</v>
      </c>
      <c r="O34" s="13">
        <f t="shared" si="23"/>
        <v>3</v>
      </c>
      <c r="P34" s="68">
        <v>3.0</v>
      </c>
      <c r="Q34" s="69"/>
      <c r="R34" s="62" t="str">
        <f t="shared" si="24"/>
        <v/>
      </c>
      <c r="AA34" s="2"/>
    </row>
    <row r="35" ht="12.75" customHeight="1">
      <c r="A35" s="17"/>
      <c r="B35" s="18" t="s">
        <v>46</v>
      </c>
      <c r="C35" s="13">
        <f t="shared" si="19"/>
        <v>3</v>
      </c>
      <c r="D35" s="60">
        <v>3.0</v>
      </c>
      <c r="E35" s="64"/>
      <c r="F35" s="62" t="str">
        <f t="shared" si="20"/>
        <v/>
      </c>
      <c r="H35" s="18" t="s">
        <v>46</v>
      </c>
      <c r="I35" s="13" t="str">
        <f t="shared" si="21"/>
        <v/>
      </c>
      <c r="J35" s="65"/>
      <c r="K35" s="61">
        <v>2.0</v>
      </c>
      <c r="L35" s="62">
        <f t="shared" si="22"/>
        <v>2</v>
      </c>
      <c r="N35" s="18" t="s">
        <v>46</v>
      </c>
      <c r="O35" s="13">
        <f t="shared" si="23"/>
        <v>3</v>
      </c>
      <c r="P35" s="68">
        <v>3.0</v>
      </c>
      <c r="Q35" s="69"/>
      <c r="R35" s="62" t="str">
        <f t="shared" si="24"/>
        <v/>
      </c>
      <c r="AA35" s="2"/>
    </row>
    <row r="36" ht="12.75" customHeight="1">
      <c r="A36" s="17"/>
      <c r="B36" s="18" t="s">
        <v>47</v>
      </c>
      <c r="C36" s="13">
        <f t="shared" si="19"/>
        <v>2</v>
      </c>
      <c r="D36" s="60">
        <v>2.0</v>
      </c>
      <c r="E36" s="61"/>
      <c r="F36" s="62" t="str">
        <f t="shared" si="20"/>
        <v/>
      </c>
      <c r="H36" s="18" t="s">
        <v>47</v>
      </c>
      <c r="I36" s="13">
        <f t="shared" si="21"/>
        <v>3</v>
      </c>
      <c r="J36" s="60">
        <v>3.0</v>
      </c>
      <c r="K36" s="64"/>
      <c r="L36" s="62" t="str">
        <f t="shared" si="22"/>
        <v/>
      </c>
      <c r="N36" s="18" t="s">
        <v>47</v>
      </c>
      <c r="O36" s="13" t="str">
        <f t="shared" si="23"/>
        <v/>
      </c>
      <c r="P36" s="66"/>
      <c r="Q36" s="69"/>
      <c r="R36" s="62" t="str">
        <f t="shared" si="24"/>
        <v/>
      </c>
      <c r="AA36" s="2"/>
    </row>
    <row r="37" ht="12.75" customHeight="1">
      <c r="A37" s="17"/>
      <c r="B37" s="18" t="s">
        <v>48</v>
      </c>
      <c r="C37" s="13" t="str">
        <f t="shared" si="19"/>
        <v/>
      </c>
      <c r="D37" s="65"/>
      <c r="E37" s="64"/>
      <c r="F37" s="62" t="str">
        <f t="shared" si="20"/>
        <v/>
      </c>
      <c r="H37" s="18" t="s">
        <v>48</v>
      </c>
      <c r="I37" s="13" t="str">
        <f t="shared" si="21"/>
        <v/>
      </c>
      <c r="J37" s="65"/>
      <c r="K37" s="64"/>
      <c r="L37" s="62" t="str">
        <f t="shared" si="22"/>
        <v/>
      </c>
      <c r="N37" s="18" t="s">
        <v>48</v>
      </c>
      <c r="O37" s="13" t="str">
        <f t="shared" si="23"/>
        <v/>
      </c>
      <c r="P37" s="66"/>
      <c r="Q37" s="69"/>
      <c r="R37" s="62" t="str">
        <f t="shared" si="24"/>
        <v/>
      </c>
      <c r="AA37" s="2"/>
    </row>
    <row r="38" ht="12.75" customHeight="1">
      <c r="A38" s="17"/>
      <c r="B38" s="18" t="s">
        <v>49</v>
      </c>
      <c r="C38" s="13" t="str">
        <f t="shared" si="19"/>
        <v/>
      </c>
      <c r="D38" s="65"/>
      <c r="E38" s="64"/>
      <c r="F38" s="62" t="str">
        <f t="shared" si="20"/>
        <v/>
      </c>
      <c r="H38" s="18" t="s">
        <v>49</v>
      </c>
      <c r="I38" s="13" t="str">
        <f t="shared" si="21"/>
        <v/>
      </c>
      <c r="J38" s="65"/>
      <c r="K38" s="64"/>
      <c r="L38" s="62" t="str">
        <f t="shared" si="22"/>
        <v/>
      </c>
      <c r="N38" s="18" t="s">
        <v>49</v>
      </c>
      <c r="O38" s="13" t="str">
        <f t="shared" si="23"/>
        <v/>
      </c>
      <c r="P38" s="66"/>
      <c r="Q38" s="69"/>
      <c r="R38" s="62" t="str">
        <f t="shared" si="24"/>
        <v/>
      </c>
      <c r="AA38" s="2"/>
    </row>
    <row r="39" ht="12.75" customHeight="1">
      <c r="A39" s="17"/>
      <c r="B39" s="18" t="s">
        <v>50</v>
      </c>
      <c r="C39" s="13" t="str">
        <f t="shared" si="19"/>
        <v/>
      </c>
      <c r="D39" s="65"/>
      <c r="E39" s="64"/>
      <c r="F39" s="62" t="str">
        <f t="shared" si="20"/>
        <v/>
      </c>
      <c r="H39" s="18" t="s">
        <v>50</v>
      </c>
      <c r="I39" s="13" t="str">
        <f t="shared" si="21"/>
        <v/>
      </c>
      <c r="J39" s="65"/>
      <c r="K39" s="64"/>
      <c r="L39" s="62" t="str">
        <f t="shared" si="22"/>
        <v/>
      </c>
      <c r="N39" s="18" t="s">
        <v>50</v>
      </c>
      <c r="O39" s="13" t="str">
        <f t="shared" si="23"/>
        <v/>
      </c>
      <c r="P39" s="66"/>
      <c r="Q39" s="69"/>
      <c r="R39" s="62" t="str">
        <f t="shared" si="24"/>
        <v/>
      </c>
      <c r="AA39" s="2"/>
    </row>
    <row r="40" ht="12.75" customHeight="1">
      <c r="A40" s="17"/>
      <c r="B40" s="18" t="s">
        <v>51</v>
      </c>
      <c r="C40" s="13" t="str">
        <f t="shared" si="19"/>
        <v/>
      </c>
      <c r="D40" s="66"/>
      <c r="E40" s="69"/>
      <c r="F40" s="62" t="str">
        <f t="shared" si="20"/>
        <v/>
      </c>
      <c r="H40" s="18" t="s">
        <v>51</v>
      </c>
      <c r="I40" s="13" t="str">
        <f t="shared" si="21"/>
        <v/>
      </c>
      <c r="J40" s="66"/>
      <c r="K40" s="69"/>
      <c r="L40" s="62" t="str">
        <f t="shared" si="22"/>
        <v/>
      </c>
      <c r="N40" s="18" t="s">
        <v>51</v>
      </c>
      <c r="O40" s="13" t="str">
        <f t="shared" si="23"/>
        <v/>
      </c>
      <c r="P40" s="66"/>
      <c r="Q40" s="69"/>
      <c r="R40" s="62" t="str">
        <f t="shared" si="24"/>
        <v/>
      </c>
      <c r="AA40" s="2"/>
    </row>
    <row r="41" ht="12.75" customHeight="1">
      <c r="A41" s="17"/>
      <c r="B41" s="18" t="s">
        <v>52</v>
      </c>
      <c r="C41" s="33">
        <f>SUM(C26:C40)</f>
        <v>9</v>
      </c>
      <c r="D41" s="33">
        <f>COUNTIFS(D26:D40, "&lt;&gt;0", D26:D40, "&lt;&gt;", E26:E40, "&lt;&gt;0", E26:E40, "&lt;&gt;")</f>
        <v>3</v>
      </c>
      <c r="E41" s="33">
        <f>COUNTIFS(D26:D40, "&lt;&gt;0", D26:D40, "&lt;&gt;", E26:E40, "&lt;&gt;0", E26:E40, "&lt;&gt;")</f>
        <v>3</v>
      </c>
      <c r="F41" s="33">
        <f>SUM(F26:F40)</f>
        <v>8</v>
      </c>
      <c r="H41" s="18" t="s">
        <v>52</v>
      </c>
      <c r="I41" s="33">
        <f>SUM(I26:I40)</f>
        <v>8</v>
      </c>
      <c r="J41" s="33">
        <f>COUNTIFS(J26:J40, "&lt;&gt;0", J26:J40, "&lt;&gt;", K26:K40, "&lt;&gt;0", K26:K40, "&lt;&gt;")</f>
        <v>0</v>
      </c>
      <c r="K41" s="33">
        <f>COUNTIFS(J26:J40, "&lt;&gt;0", J26:J40, "&lt;&gt;", K26:K40, "&lt;&gt;0", K26:K40, "&lt;&gt;")</f>
        <v>0</v>
      </c>
      <c r="L41" s="33">
        <f>SUM(L26:L40)</f>
        <v>17</v>
      </c>
      <c r="N41" s="18" t="s">
        <v>52</v>
      </c>
      <c r="O41" s="33">
        <f>SUM(O26:O40)</f>
        <v>18</v>
      </c>
      <c r="P41" s="33">
        <f>COUNTIFS(P26:P40, "&lt;&gt;0", P26:P40, "&lt;&gt;", Q26:Q40, "&lt;&gt;0", Q26:Q40, "&lt;&gt;")</f>
        <v>0</v>
      </c>
      <c r="Q41" s="33">
        <f>COUNTIFS(P26:P40, "&lt;&gt;0", P26:P40, "&lt;&gt;", Q26:Q40, "&lt;&gt;0", Q26:Q40, "&lt;&gt;")</f>
        <v>0</v>
      </c>
      <c r="R41" s="33">
        <f>SUM(R26:R40)</f>
        <v>5</v>
      </c>
      <c r="AA41" s="2"/>
    </row>
    <row r="42" ht="12.75" customHeight="1">
      <c r="A42" s="17"/>
      <c r="B42" s="17" t="s">
        <v>53</v>
      </c>
      <c r="C42" s="70">
        <f>D42</f>
        <v>1</v>
      </c>
      <c r="D42" s="71">
        <f>IF(C41&gt;F41, 1, (IF(C41=F41, 0, -1)))</f>
        <v>1</v>
      </c>
      <c r="E42" s="33">
        <f>IF(F41&gt;C41, 1, (IF(F41=C41, 0, -1)))</f>
        <v>-1</v>
      </c>
      <c r="F42" s="70">
        <f>E42</f>
        <v>-1</v>
      </c>
      <c r="H42" s="17" t="s">
        <v>53</v>
      </c>
      <c r="I42" s="70">
        <f>J42</f>
        <v>-1</v>
      </c>
      <c r="J42" s="71">
        <f>IF(I41&gt;L41, 1, (IF(I41=L41, 0, -1)))</f>
        <v>-1</v>
      </c>
      <c r="K42" s="33">
        <f>IF(L41&gt;I41, 1, (IF(L41=I41, 0, -1)))</f>
        <v>1</v>
      </c>
      <c r="L42" s="70">
        <f>K42</f>
        <v>1</v>
      </c>
      <c r="N42" s="17" t="s">
        <v>53</v>
      </c>
      <c r="O42" s="70">
        <f>P42</f>
        <v>1</v>
      </c>
      <c r="P42" s="71">
        <f>IF(O41&gt;R41, 1, (IF(O41=R41, 0, -1)))</f>
        <v>1</v>
      </c>
      <c r="Q42" s="33">
        <f>IF(R41&gt;O41, 1, (IF(R41=O41, 0, -1)))</f>
        <v>-1</v>
      </c>
      <c r="R42" s="70">
        <f>Q42</f>
        <v>-1</v>
      </c>
      <c r="AA42" s="2"/>
    </row>
    <row r="43" ht="12.75" customHeight="1">
      <c r="A43" s="72"/>
      <c r="B43" s="72"/>
      <c r="H43" s="72"/>
      <c r="N43" s="72"/>
      <c r="AA43" s="2"/>
    </row>
    <row r="44" ht="12.75" customHeight="1">
      <c r="A44" s="72"/>
      <c r="B44" s="72"/>
      <c r="H44" s="72"/>
      <c r="N44" s="72"/>
      <c r="AA44" s="2"/>
    </row>
    <row r="45" ht="12.75" customHeight="1">
      <c r="A45" s="17"/>
      <c r="B45" s="18" t="s">
        <v>8</v>
      </c>
      <c r="C45" s="58" t="str">
        <f>T25</f>
        <v>Eminence Bruin</v>
      </c>
      <c r="D45" s="15"/>
      <c r="E45" s="59" t="str">
        <f>T28</f>
        <v>Teake</v>
      </c>
      <c r="F45" s="15"/>
      <c r="H45" s="18" t="s">
        <v>21</v>
      </c>
      <c r="I45" s="58" t="str">
        <f>T27</f>
        <v>Teun</v>
      </c>
      <c r="J45" s="15"/>
      <c r="K45" s="59" t="str">
        <f>T28</f>
        <v>Teake</v>
      </c>
      <c r="L45" s="15"/>
      <c r="N45" s="18" t="s">
        <v>30</v>
      </c>
      <c r="O45" s="58" t="str">
        <f>T24</f>
        <v>Diego</v>
      </c>
      <c r="P45" s="15"/>
      <c r="Q45" s="59" t="str">
        <f>T27</f>
        <v>Teun</v>
      </c>
      <c r="R45" s="15"/>
      <c r="AA45" s="2"/>
    </row>
    <row r="46" ht="12.75" customHeight="1">
      <c r="A46" s="17"/>
      <c r="B46" s="18" t="s">
        <v>36</v>
      </c>
      <c r="C46" s="13">
        <f t="shared" ref="C46:C60" si="27">IF(AND(D46&gt;0,E46&gt;0), 0, D46)</f>
        <v>2</v>
      </c>
      <c r="D46" s="73">
        <v>2.0</v>
      </c>
      <c r="E46" s="74"/>
      <c r="F46" s="62" t="str">
        <f t="shared" ref="F46:F60" si="28">IF(AND(D46&gt;0,E46&gt;0), 0, E46)</f>
        <v/>
      </c>
      <c r="H46" s="18" t="s">
        <v>36</v>
      </c>
      <c r="I46" s="13">
        <f t="shared" ref="I46:I60" si="29">IF(AND(J46&gt;0,K46&gt;0), 0, J46)</f>
        <v>2</v>
      </c>
      <c r="J46" s="60">
        <v>2.0</v>
      </c>
      <c r="K46" s="64"/>
      <c r="L46" s="62" t="str">
        <f t="shared" ref="L46:L60" si="30">IF(AND(J46&gt;0,K46&gt;0), 0, K46)</f>
        <v/>
      </c>
      <c r="N46" s="18" t="s">
        <v>36</v>
      </c>
      <c r="O46" s="13">
        <f t="shared" ref="O46:O60" si="31">IF(AND(P46&gt;0,Q46&gt;0), 0, P46)</f>
        <v>2</v>
      </c>
      <c r="P46" s="60">
        <v>2.0</v>
      </c>
      <c r="Q46" s="64"/>
      <c r="R46" s="62" t="str">
        <f t="shared" ref="R46:R60" si="32">IF(AND(P46&gt;0,Q46&gt;0), 0, Q46)</f>
        <v/>
      </c>
      <c r="AA46" s="2"/>
    </row>
    <row r="47" ht="12.75" customHeight="1">
      <c r="A47" s="17"/>
      <c r="B47" s="18" t="s">
        <v>37</v>
      </c>
      <c r="C47" s="13">
        <f t="shared" si="27"/>
        <v>0</v>
      </c>
      <c r="D47" s="73">
        <v>0.0</v>
      </c>
      <c r="E47" s="74">
        <v>0.0</v>
      </c>
      <c r="F47" s="62">
        <f t="shared" si="28"/>
        <v>0</v>
      </c>
      <c r="H47" s="18" t="s">
        <v>37</v>
      </c>
      <c r="I47" s="13">
        <f t="shared" si="29"/>
        <v>2</v>
      </c>
      <c r="J47" s="60">
        <v>2.0</v>
      </c>
      <c r="K47" s="64"/>
      <c r="L47" s="62" t="str">
        <f t="shared" si="30"/>
        <v/>
      </c>
      <c r="N47" s="18" t="s">
        <v>37</v>
      </c>
      <c r="O47" s="13">
        <f t="shared" si="31"/>
        <v>2</v>
      </c>
      <c r="P47" s="60">
        <v>2.0</v>
      </c>
      <c r="Q47" s="64"/>
      <c r="R47" s="62" t="str">
        <f t="shared" si="32"/>
        <v/>
      </c>
      <c r="AA47" s="2"/>
    </row>
    <row r="48" ht="12.75" customHeight="1">
      <c r="A48" s="17"/>
      <c r="B48" s="18" t="s">
        <v>38</v>
      </c>
      <c r="C48" s="13">
        <f t="shared" si="27"/>
        <v>2</v>
      </c>
      <c r="D48" s="73">
        <v>2.0</v>
      </c>
      <c r="E48" s="74"/>
      <c r="F48" s="62" t="str">
        <f t="shared" si="28"/>
        <v/>
      </c>
      <c r="H48" s="18" t="s">
        <v>38</v>
      </c>
      <c r="I48" s="13">
        <f t="shared" si="29"/>
        <v>2</v>
      </c>
      <c r="J48" s="60">
        <v>2.0</v>
      </c>
      <c r="K48" s="64"/>
      <c r="L48" s="62" t="str">
        <f t="shared" si="30"/>
        <v/>
      </c>
      <c r="N48" s="18" t="s">
        <v>38</v>
      </c>
      <c r="O48" s="13" t="str">
        <f t="shared" si="31"/>
        <v/>
      </c>
      <c r="P48" s="65"/>
      <c r="Q48" s="61">
        <v>2.0</v>
      </c>
      <c r="R48" s="62">
        <f t="shared" si="32"/>
        <v>2</v>
      </c>
      <c r="AA48" s="2"/>
    </row>
    <row r="49" ht="12.75" customHeight="1">
      <c r="A49" s="17"/>
      <c r="B49" s="18" t="s">
        <v>39</v>
      </c>
      <c r="C49" s="13">
        <f t="shared" si="27"/>
        <v>3</v>
      </c>
      <c r="D49" s="73">
        <v>3.0</v>
      </c>
      <c r="E49" s="74"/>
      <c r="F49" s="62" t="str">
        <f t="shared" si="28"/>
        <v/>
      </c>
      <c r="H49" s="18" t="s">
        <v>39</v>
      </c>
      <c r="I49" s="13">
        <f t="shared" si="29"/>
        <v>2</v>
      </c>
      <c r="J49" s="60">
        <v>2.0</v>
      </c>
      <c r="K49" s="64"/>
      <c r="L49" s="62" t="str">
        <f t="shared" si="30"/>
        <v/>
      </c>
      <c r="N49" s="18" t="s">
        <v>39</v>
      </c>
      <c r="O49" s="13" t="str">
        <f t="shared" si="31"/>
        <v/>
      </c>
      <c r="P49" s="65"/>
      <c r="Q49" s="61">
        <v>2.0</v>
      </c>
      <c r="R49" s="62">
        <f t="shared" si="32"/>
        <v>2</v>
      </c>
      <c r="AA49" s="2"/>
    </row>
    <row r="50" ht="12.75" customHeight="1">
      <c r="A50" s="17"/>
      <c r="B50" s="18" t="s">
        <v>40</v>
      </c>
      <c r="C50" s="13" t="str">
        <f t="shared" si="27"/>
        <v/>
      </c>
      <c r="D50" s="74"/>
      <c r="E50" s="74">
        <v>2.0</v>
      </c>
      <c r="F50" s="62">
        <f t="shared" si="28"/>
        <v>2</v>
      </c>
      <c r="H50" s="18" t="s">
        <v>40</v>
      </c>
      <c r="I50" s="13" t="str">
        <f t="shared" si="29"/>
        <v/>
      </c>
      <c r="J50" s="65"/>
      <c r="K50" s="61">
        <v>3.0</v>
      </c>
      <c r="L50" s="62">
        <f t="shared" si="30"/>
        <v>3</v>
      </c>
      <c r="N50" s="18" t="s">
        <v>40</v>
      </c>
      <c r="O50" s="13" t="str">
        <f t="shared" si="31"/>
        <v/>
      </c>
      <c r="P50" s="65"/>
      <c r="Q50" s="61">
        <v>2.0</v>
      </c>
      <c r="R50" s="62">
        <f t="shared" si="32"/>
        <v>2</v>
      </c>
      <c r="AA50" s="2"/>
    </row>
    <row r="51" ht="12.75" customHeight="1">
      <c r="A51" s="17"/>
      <c r="B51" s="18" t="s">
        <v>42</v>
      </c>
      <c r="C51" s="13" t="str">
        <f t="shared" si="27"/>
        <v/>
      </c>
      <c r="D51" s="74"/>
      <c r="E51" s="74">
        <v>2.0</v>
      </c>
      <c r="F51" s="62">
        <f t="shared" si="28"/>
        <v>2</v>
      </c>
      <c r="H51" s="18" t="s">
        <v>42</v>
      </c>
      <c r="I51" s="13">
        <f t="shared" si="29"/>
        <v>0</v>
      </c>
      <c r="J51" s="60">
        <v>2.0</v>
      </c>
      <c r="K51" s="61">
        <v>2.0</v>
      </c>
      <c r="L51" s="62">
        <f t="shared" si="30"/>
        <v>0</v>
      </c>
      <c r="N51" s="18" t="s">
        <v>42</v>
      </c>
      <c r="O51" s="13" t="str">
        <f t="shared" si="31"/>
        <v/>
      </c>
      <c r="P51" s="65"/>
      <c r="Q51" s="61">
        <v>2.0</v>
      </c>
      <c r="R51" s="62">
        <f t="shared" si="32"/>
        <v>2</v>
      </c>
      <c r="AA51" s="2"/>
    </row>
    <row r="52" ht="12.75" customHeight="1">
      <c r="A52" s="17"/>
      <c r="B52" s="18" t="s">
        <v>43</v>
      </c>
      <c r="C52" s="13">
        <f t="shared" si="27"/>
        <v>0</v>
      </c>
      <c r="D52" s="73">
        <v>2.0</v>
      </c>
      <c r="E52" s="74">
        <v>2.0</v>
      </c>
      <c r="F52" s="62">
        <f t="shared" si="28"/>
        <v>0</v>
      </c>
      <c r="H52" s="18" t="s">
        <v>43</v>
      </c>
      <c r="I52" s="13">
        <f t="shared" si="29"/>
        <v>3</v>
      </c>
      <c r="J52" s="60">
        <v>3.0</v>
      </c>
      <c r="K52" s="64"/>
      <c r="L52" s="62" t="str">
        <f t="shared" si="30"/>
        <v/>
      </c>
      <c r="N52" s="18" t="s">
        <v>43</v>
      </c>
      <c r="O52" s="13" t="str">
        <f t="shared" si="31"/>
        <v/>
      </c>
      <c r="P52" s="65"/>
      <c r="Q52" s="61">
        <v>2.0</v>
      </c>
      <c r="R52" s="62">
        <f t="shared" si="32"/>
        <v>2</v>
      </c>
      <c r="AA52" s="2"/>
    </row>
    <row r="53" ht="12.75" customHeight="1">
      <c r="A53" s="17"/>
      <c r="B53" s="18" t="s">
        <v>44</v>
      </c>
      <c r="C53" s="13">
        <f t="shared" si="27"/>
        <v>2</v>
      </c>
      <c r="D53" s="75">
        <v>2.0</v>
      </c>
      <c r="E53" s="74"/>
      <c r="F53" s="62" t="str">
        <f t="shared" si="28"/>
        <v/>
      </c>
      <c r="H53" s="18" t="s">
        <v>44</v>
      </c>
      <c r="I53" s="13" t="str">
        <f t="shared" si="29"/>
        <v/>
      </c>
      <c r="J53" s="65"/>
      <c r="K53" s="64"/>
      <c r="L53" s="62" t="str">
        <f t="shared" si="30"/>
        <v/>
      </c>
      <c r="N53" s="18" t="s">
        <v>44</v>
      </c>
      <c r="O53" s="13">
        <f t="shared" si="31"/>
        <v>0</v>
      </c>
      <c r="P53" s="60">
        <v>2.0</v>
      </c>
      <c r="Q53" s="61">
        <v>2.0</v>
      </c>
      <c r="R53" s="62">
        <f t="shared" si="32"/>
        <v>0</v>
      </c>
      <c r="AA53" s="2"/>
    </row>
    <row r="54" ht="12.75" customHeight="1">
      <c r="A54" s="17"/>
      <c r="B54" s="18" t="s">
        <v>45</v>
      </c>
      <c r="C54" s="13">
        <f t="shared" si="27"/>
        <v>2</v>
      </c>
      <c r="D54" s="73">
        <v>2.0</v>
      </c>
      <c r="E54" s="74"/>
      <c r="F54" s="62" t="str">
        <f t="shared" si="28"/>
        <v/>
      </c>
      <c r="H54" s="18" t="s">
        <v>45</v>
      </c>
      <c r="I54" s="13" t="str">
        <f t="shared" si="29"/>
        <v/>
      </c>
      <c r="J54" s="65"/>
      <c r="K54" s="64"/>
      <c r="L54" s="62" t="str">
        <f t="shared" si="30"/>
        <v/>
      </c>
      <c r="N54" s="18" t="s">
        <v>45</v>
      </c>
      <c r="O54" s="13" t="str">
        <f t="shared" si="31"/>
        <v/>
      </c>
      <c r="P54" s="65"/>
      <c r="Q54" s="61">
        <v>2.0</v>
      </c>
      <c r="R54" s="62">
        <f t="shared" si="32"/>
        <v>2</v>
      </c>
      <c r="AA54" s="2"/>
    </row>
    <row r="55" ht="12.75" customHeight="1">
      <c r="A55" s="17"/>
      <c r="B55" s="18" t="s">
        <v>46</v>
      </c>
      <c r="C55" s="13" t="str">
        <f t="shared" si="27"/>
        <v/>
      </c>
      <c r="D55" s="60"/>
      <c r="E55" s="64"/>
      <c r="F55" s="62" t="str">
        <f t="shared" si="28"/>
        <v/>
      </c>
      <c r="H55" s="18" t="s">
        <v>46</v>
      </c>
      <c r="I55" s="13" t="str">
        <f t="shared" si="29"/>
        <v/>
      </c>
      <c r="J55" s="65"/>
      <c r="K55" s="64"/>
      <c r="L55" s="62" t="str">
        <f t="shared" si="30"/>
        <v/>
      </c>
      <c r="N55" s="18" t="s">
        <v>46</v>
      </c>
      <c r="O55" s="13" t="str">
        <f t="shared" si="31"/>
        <v/>
      </c>
      <c r="P55" s="65"/>
      <c r="Q55" s="64"/>
      <c r="R55" s="62" t="str">
        <f t="shared" si="32"/>
        <v/>
      </c>
      <c r="AA55" s="2"/>
    </row>
    <row r="56" ht="12.75" customHeight="1">
      <c r="A56" s="17"/>
      <c r="B56" s="18" t="s">
        <v>47</v>
      </c>
      <c r="C56" s="13" t="str">
        <f t="shared" si="27"/>
        <v/>
      </c>
      <c r="D56" s="60"/>
      <c r="E56" s="61"/>
      <c r="F56" s="62" t="str">
        <f t="shared" si="28"/>
        <v/>
      </c>
      <c r="H56" s="18" t="s">
        <v>47</v>
      </c>
      <c r="I56" s="13" t="str">
        <f t="shared" si="29"/>
        <v/>
      </c>
      <c r="J56" s="65"/>
      <c r="K56" s="64"/>
      <c r="L56" s="62" t="str">
        <f t="shared" si="30"/>
        <v/>
      </c>
      <c r="N56" s="18" t="s">
        <v>47</v>
      </c>
      <c r="O56" s="13" t="str">
        <f t="shared" si="31"/>
        <v/>
      </c>
      <c r="P56" s="65"/>
      <c r="Q56" s="64"/>
      <c r="R56" s="62" t="str">
        <f t="shared" si="32"/>
        <v/>
      </c>
      <c r="AA56" s="2"/>
    </row>
    <row r="57" ht="12.75" customHeight="1">
      <c r="A57" s="17"/>
      <c r="B57" s="18" t="s">
        <v>48</v>
      </c>
      <c r="C57" s="13" t="str">
        <f t="shared" si="27"/>
        <v/>
      </c>
      <c r="D57" s="65"/>
      <c r="E57" s="64"/>
      <c r="F57" s="62" t="str">
        <f t="shared" si="28"/>
        <v/>
      </c>
      <c r="H57" s="18" t="s">
        <v>48</v>
      </c>
      <c r="I57" s="13" t="str">
        <f t="shared" si="29"/>
        <v/>
      </c>
      <c r="J57" s="65"/>
      <c r="K57" s="64"/>
      <c r="L57" s="62" t="str">
        <f t="shared" si="30"/>
        <v/>
      </c>
      <c r="N57" s="18" t="s">
        <v>48</v>
      </c>
      <c r="O57" s="13" t="str">
        <f t="shared" si="31"/>
        <v/>
      </c>
      <c r="P57" s="65"/>
      <c r="Q57" s="64"/>
      <c r="R57" s="62" t="str">
        <f t="shared" si="32"/>
        <v/>
      </c>
      <c r="AA57" s="2"/>
    </row>
    <row r="58" ht="12.75" customHeight="1">
      <c r="A58" s="17"/>
      <c r="B58" s="18" t="s">
        <v>49</v>
      </c>
      <c r="C58" s="13" t="str">
        <f t="shared" si="27"/>
        <v/>
      </c>
      <c r="D58" s="65"/>
      <c r="E58" s="64"/>
      <c r="F58" s="62" t="str">
        <f t="shared" si="28"/>
        <v/>
      </c>
      <c r="H58" s="18" t="s">
        <v>49</v>
      </c>
      <c r="I58" s="13" t="str">
        <f t="shared" si="29"/>
        <v/>
      </c>
      <c r="J58" s="65"/>
      <c r="K58" s="64"/>
      <c r="L58" s="62" t="str">
        <f t="shared" si="30"/>
        <v/>
      </c>
      <c r="N58" s="18" t="s">
        <v>49</v>
      </c>
      <c r="O58" s="13" t="str">
        <f t="shared" si="31"/>
        <v/>
      </c>
      <c r="P58" s="65"/>
      <c r="Q58" s="64"/>
      <c r="R58" s="62" t="str">
        <f t="shared" si="32"/>
        <v/>
      </c>
      <c r="AA58" s="2"/>
    </row>
    <row r="59" ht="12.75" customHeight="1">
      <c r="A59" s="17"/>
      <c r="B59" s="18" t="s">
        <v>50</v>
      </c>
      <c r="C59" s="13" t="str">
        <f t="shared" si="27"/>
        <v/>
      </c>
      <c r="D59" s="65"/>
      <c r="E59" s="64"/>
      <c r="F59" s="62" t="str">
        <f t="shared" si="28"/>
        <v/>
      </c>
      <c r="H59" s="18" t="s">
        <v>50</v>
      </c>
      <c r="I59" s="13" t="str">
        <f t="shared" si="29"/>
        <v/>
      </c>
      <c r="J59" s="65"/>
      <c r="K59" s="64"/>
      <c r="L59" s="62" t="str">
        <f t="shared" si="30"/>
        <v/>
      </c>
      <c r="N59" s="18" t="s">
        <v>50</v>
      </c>
      <c r="O59" s="13" t="str">
        <f t="shared" si="31"/>
        <v/>
      </c>
      <c r="P59" s="65"/>
      <c r="Q59" s="64"/>
      <c r="R59" s="62" t="str">
        <f t="shared" si="32"/>
        <v/>
      </c>
      <c r="AA59" s="2"/>
    </row>
    <row r="60" ht="12.75" customHeight="1">
      <c r="A60" s="17"/>
      <c r="B60" s="18" t="s">
        <v>51</v>
      </c>
      <c r="C60" s="13" t="str">
        <f t="shared" si="27"/>
        <v/>
      </c>
      <c r="D60" s="66"/>
      <c r="E60" s="69"/>
      <c r="F60" s="62" t="str">
        <f t="shared" si="28"/>
        <v/>
      </c>
      <c r="H60" s="18" t="s">
        <v>51</v>
      </c>
      <c r="I60" s="13" t="str">
        <f t="shared" si="29"/>
        <v/>
      </c>
      <c r="J60" s="66"/>
      <c r="K60" s="69"/>
      <c r="L60" s="62" t="str">
        <f t="shared" si="30"/>
        <v/>
      </c>
      <c r="N60" s="18" t="s">
        <v>51</v>
      </c>
      <c r="O60" s="13" t="str">
        <f t="shared" si="31"/>
        <v/>
      </c>
      <c r="P60" s="66"/>
      <c r="Q60" s="69"/>
      <c r="R60" s="62" t="str">
        <f t="shared" si="32"/>
        <v/>
      </c>
      <c r="AA60" s="2"/>
    </row>
    <row r="61" ht="12.75" customHeight="1">
      <c r="A61" s="17"/>
      <c r="B61" s="18" t="s">
        <v>52</v>
      </c>
      <c r="C61" s="33">
        <f>SUM(C46:C60)</f>
        <v>11</v>
      </c>
      <c r="D61" s="33">
        <f>COUNTIFS(D46:D60, "&lt;&gt;0", D46:D60, "&lt;&gt;", E46:E60, "&lt;&gt;0", E46:E60, "&lt;&gt;")</f>
        <v>1</v>
      </c>
      <c r="E61" s="33">
        <f>COUNTIFS(D46:D60, "&lt;&gt;0", D46:D60, "&lt;&gt;", E46:E60, "&lt;&gt;0", E46:E60, "&lt;&gt;")</f>
        <v>1</v>
      </c>
      <c r="F61" s="33">
        <f>SUM(F46:F60)</f>
        <v>4</v>
      </c>
      <c r="H61" s="18" t="s">
        <v>52</v>
      </c>
      <c r="I61" s="33">
        <f>SUM(I46:I60)</f>
        <v>11</v>
      </c>
      <c r="J61" s="33">
        <f>COUNTIFS(J46:J60, "&lt;&gt;0", J46:J60, "&lt;&gt;", K46:K60, "&lt;&gt;0", K46:K60, "&lt;&gt;")</f>
        <v>1</v>
      </c>
      <c r="K61" s="33">
        <f>COUNTIFS(J46:J60, "&lt;&gt;0", J46:J60, "&lt;&gt;", K46:K60, "&lt;&gt;0", K46:K60, "&lt;&gt;")</f>
        <v>1</v>
      </c>
      <c r="L61" s="33">
        <f>SUM(L46:L60)</f>
        <v>3</v>
      </c>
      <c r="N61" s="18" t="s">
        <v>52</v>
      </c>
      <c r="O61" s="33">
        <f>SUM(O46:O60)</f>
        <v>4</v>
      </c>
      <c r="P61" s="33">
        <f>COUNTIFS(P46:P60, "&lt;&gt;0", P46:P60, "&lt;&gt;", Q46:Q60, "&lt;&gt;0", Q46:Q60, "&lt;&gt;")</f>
        <v>1</v>
      </c>
      <c r="Q61" s="33">
        <f>COUNTIFS(P46:P60, "&lt;&gt;0", P46:P60, "&lt;&gt;", Q46:Q60, "&lt;&gt;0", Q46:Q60, "&lt;&gt;")</f>
        <v>1</v>
      </c>
      <c r="R61" s="33">
        <f>SUM(R46:R60)</f>
        <v>12</v>
      </c>
      <c r="AA61" s="2"/>
    </row>
    <row r="62" ht="12.75" customHeight="1">
      <c r="A62" s="17"/>
      <c r="B62" s="17" t="s">
        <v>53</v>
      </c>
      <c r="C62" s="70">
        <f>D62</f>
        <v>1</v>
      </c>
      <c r="D62" s="71">
        <f>IF(C61&gt;F61, 1, (IF(C61=F61, 0, -1)))</f>
        <v>1</v>
      </c>
      <c r="E62" s="33">
        <f>IF(F61&gt;C61, 1, (IF(F61=C61, 0, -1)))</f>
        <v>-1</v>
      </c>
      <c r="F62" s="70">
        <f>E62</f>
        <v>-1</v>
      </c>
      <c r="H62" s="17" t="s">
        <v>53</v>
      </c>
      <c r="I62" s="70">
        <f>J62</f>
        <v>1</v>
      </c>
      <c r="J62" s="71">
        <f>IF(I61&gt;L61, 1, (IF(I61=L61, 0, -1)))</f>
        <v>1</v>
      </c>
      <c r="K62" s="33">
        <f>IF(L61&gt;I61, 1, (IF(L61=I61, 0, -1)))</f>
        <v>-1</v>
      </c>
      <c r="L62" s="70">
        <f>K62</f>
        <v>-1</v>
      </c>
      <c r="N62" s="17" t="s">
        <v>53</v>
      </c>
      <c r="O62" s="70">
        <f>P62</f>
        <v>-1</v>
      </c>
      <c r="P62" s="71">
        <f>IF(O61&gt;R61, 1, (IF(O61=R61, 0, -1)))</f>
        <v>-1</v>
      </c>
      <c r="Q62" s="33">
        <f>IF(R61&gt;O61, 1, (IF(R61=O61, 0, -1)))</f>
        <v>1</v>
      </c>
      <c r="R62" s="70">
        <f>Q62</f>
        <v>1</v>
      </c>
      <c r="AA62" s="2"/>
    </row>
    <row r="63" ht="12.75" customHeight="1">
      <c r="A63" s="72"/>
      <c r="B63" s="72"/>
      <c r="N63" s="72"/>
      <c r="AA63" s="2"/>
    </row>
    <row r="64" ht="12.75" customHeight="1">
      <c r="A64" s="72"/>
      <c r="B64" s="72"/>
      <c r="N64" s="72"/>
      <c r="AA64" s="2"/>
    </row>
    <row r="65" ht="12.75" customHeight="1">
      <c r="A65" s="17"/>
      <c r="B65" s="18" t="s">
        <v>11</v>
      </c>
      <c r="C65" s="58" t="str">
        <f>T26</f>
        <v>Tim the Burgundy Enchanter</v>
      </c>
      <c r="D65" s="15"/>
      <c r="E65" s="59" t="str">
        <f>T27</f>
        <v>Teun</v>
      </c>
      <c r="F65" s="15"/>
      <c r="H65" s="18" t="s">
        <v>23</v>
      </c>
      <c r="I65" s="58" t="str">
        <f>T25</f>
        <v>Eminence Bruin</v>
      </c>
      <c r="J65" s="15"/>
      <c r="K65" s="59" t="str">
        <f>T29</f>
        <v>Ronald</v>
      </c>
      <c r="L65" s="15"/>
      <c r="N65" s="18" t="s">
        <v>31</v>
      </c>
      <c r="O65" s="58" t="str">
        <f>T25</f>
        <v>Eminence Bruin</v>
      </c>
      <c r="P65" s="15"/>
      <c r="Q65" s="59" t="str">
        <f>T26</f>
        <v>Tim the Burgundy Enchanter</v>
      </c>
      <c r="R65" s="15"/>
      <c r="AA65" s="2"/>
    </row>
    <row r="66" ht="12.75" customHeight="1">
      <c r="A66" s="17"/>
      <c r="B66" s="18" t="s">
        <v>36</v>
      </c>
      <c r="C66" s="13">
        <f t="shared" ref="C66:C80" si="33">IF(AND(D66&gt;0,E66&gt;0), 0, D66)</f>
        <v>0</v>
      </c>
      <c r="D66" s="73">
        <v>3.0</v>
      </c>
      <c r="E66" s="74">
        <v>3.0</v>
      </c>
      <c r="F66" s="62">
        <f t="shared" ref="F66:F80" si="34">IF(AND(D66&gt;0,E66&gt;0), 0, E66)</f>
        <v>0</v>
      </c>
      <c r="H66" s="18" t="s">
        <v>36</v>
      </c>
      <c r="I66" s="13">
        <f t="shared" ref="I66:I80" si="35">IF(AND(J66&gt;0,K66&gt;0), 0, J66)</f>
        <v>2</v>
      </c>
      <c r="J66" s="60">
        <v>2.0</v>
      </c>
      <c r="K66" s="64"/>
      <c r="L66" s="62" t="str">
        <f t="shared" ref="L66:L80" si="36">IF(AND(J66&gt;0,K66&gt;0), 0, K66)</f>
        <v/>
      </c>
      <c r="N66" s="18" t="s">
        <v>36</v>
      </c>
      <c r="O66" s="13" t="str">
        <f t="shared" ref="O66:O80" si="37">IF(AND(P66&gt;0,Q66&gt;0), 0, P66)</f>
        <v/>
      </c>
      <c r="P66" s="60"/>
      <c r="Q66" s="61">
        <v>2.0</v>
      </c>
      <c r="R66" s="62">
        <f t="shared" ref="R66:R80" si="38">IF(AND(P66&gt;0,Q66&gt;0), 0, Q66)</f>
        <v>2</v>
      </c>
      <c r="AA66" s="2"/>
    </row>
    <row r="67" ht="12.75" customHeight="1">
      <c r="A67" s="17"/>
      <c r="B67" s="18" t="s">
        <v>37</v>
      </c>
      <c r="C67" s="13" t="str">
        <f t="shared" si="33"/>
        <v/>
      </c>
      <c r="D67" s="74"/>
      <c r="E67" s="74">
        <v>2.0</v>
      </c>
      <c r="F67" s="62">
        <f t="shared" si="34"/>
        <v>2</v>
      </c>
      <c r="H67" s="18" t="s">
        <v>37</v>
      </c>
      <c r="I67" s="13">
        <f t="shared" si="35"/>
        <v>0</v>
      </c>
      <c r="J67" s="60">
        <v>2.0</v>
      </c>
      <c r="K67" s="61">
        <v>2.0</v>
      </c>
      <c r="L67" s="62">
        <f t="shared" si="36"/>
        <v>0</v>
      </c>
      <c r="N67" s="18" t="s">
        <v>37</v>
      </c>
      <c r="O67" s="13">
        <f t="shared" si="37"/>
        <v>0</v>
      </c>
      <c r="P67" s="60">
        <v>2.0</v>
      </c>
      <c r="Q67" s="61">
        <v>2.0</v>
      </c>
      <c r="R67" s="62">
        <f t="shared" si="38"/>
        <v>0</v>
      </c>
      <c r="AA67" s="2"/>
    </row>
    <row r="68" ht="12.75" customHeight="1">
      <c r="A68" s="17"/>
      <c r="B68" s="18" t="s">
        <v>38</v>
      </c>
      <c r="C68" s="13">
        <f t="shared" si="33"/>
        <v>2</v>
      </c>
      <c r="D68" s="73">
        <v>2.0</v>
      </c>
      <c r="E68" s="74"/>
      <c r="F68" s="62" t="str">
        <f t="shared" si="34"/>
        <v/>
      </c>
      <c r="H68" s="18" t="s">
        <v>38</v>
      </c>
      <c r="I68" s="13">
        <f t="shared" si="35"/>
        <v>3</v>
      </c>
      <c r="J68" s="60">
        <v>3.0</v>
      </c>
      <c r="K68" s="64"/>
      <c r="L68" s="62" t="str">
        <f t="shared" si="36"/>
        <v/>
      </c>
      <c r="N68" s="18" t="s">
        <v>38</v>
      </c>
      <c r="O68" s="13" t="str">
        <f t="shared" si="37"/>
        <v/>
      </c>
      <c r="P68" s="65"/>
      <c r="Q68" s="61">
        <v>2.0</v>
      </c>
      <c r="R68" s="62">
        <f t="shared" si="38"/>
        <v>2</v>
      </c>
      <c r="AA68" s="2"/>
    </row>
    <row r="69" ht="12.75" customHeight="1">
      <c r="A69" s="17"/>
      <c r="B69" s="18" t="s">
        <v>39</v>
      </c>
      <c r="C69" s="13" t="str">
        <f t="shared" si="33"/>
        <v/>
      </c>
      <c r="D69" s="74"/>
      <c r="E69" s="74">
        <v>3.0</v>
      </c>
      <c r="F69" s="62">
        <f t="shared" si="34"/>
        <v>3</v>
      </c>
      <c r="H69" s="18" t="s">
        <v>39</v>
      </c>
      <c r="I69" s="13">
        <f t="shared" si="35"/>
        <v>0</v>
      </c>
      <c r="J69" s="60">
        <v>3.0</v>
      </c>
      <c r="K69" s="61">
        <v>3.0</v>
      </c>
      <c r="L69" s="62">
        <f t="shared" si="36"/>
        <v>0</v>
      </c>
      <c r="N69" s="18" t="s">
        <v>39</v>
      </c>
      <c r="O69" s="13">
        <f t="shared" si="37"/>
        <v>0</v>
      </c>
      <c r="P69" s="60">
        <v>3.0</v>
      </c>
      <c r="Q69" s="61">
        <v>3.0</v>
      </c>
      <c r="R69" s="62">
        <f t="shared" si="38"/>
        <v>0</v>
      </c>
      <c r="AA69" s="2"/>
    </row>
    <row r="70" ht="12.75" customHeight="1">
      <c r="A70" s="17"/>
      <c r="B70" s="18" t="s">
        <v>40</v>
      </c>
      <c r="C70" s="13">
        <f t="shared" si="33"/>
        <v>2</v>
      </c>
      <c r="D70" s="76">
        <v>2.0</v>
      </c>
      <c r="E70" s="74"/>
      <c r="F70" s="62" t="str">
        <f t="shared" si="34"/>
        <v/>
      </c>
      <c r="H70" s="18" t="s">
        <v>40</v>
      </c>
      <c r="I70" s="13" t="str">
        <f t="shared" si="35"/>
        <v/>
      </c>
      <c r="J70" s="60"/>
      <c r="K70" s="61">
        <v>2.0</v>
      </c>
      <c r="L70" s="62">
        <f t="shared" si="36"/>
        <v>2</v>
      </c>
      <c r="N70" s="18" t="s">
        <v>40</v>
      </c>
      <c r="O70" s="13" t="str">
        <f t="shared" si="37"/>
        <v/>
      </c>
      <c r="P70" s="65"/>
      <c r="Q70" s="61">
        <v>2.0</v>
      </c>
      <c r="R70" s="62">
        <f t="shared" si="38"/>
        <v>2</v>
      </c>
      <c r="AA70" s="2"/>
    </row>
    <row r="71" ht="12.75" customHeight="1">
      <c r="A71" s="17"/>
      <c r="B71" s="18" t="s">
        <v>42</v>
      </c>
      <c r="C71" s="13" t="str">
        <f t="shared" si="33"/>
        <v/>
      </c>
      <c r="D71" s="74"/>
      <c r="E71" s="77">
        <v>3.0</v>
      </c>
      <c r="F71" s="62">
        <f t="shared" si="34"/>
        <v>3</v>
      </c>
      <c r="H71" s="18" t="s">
        <v>42</v>
      </c>
      <c r="I71" s="13" t="str">
        <f t="shared" si="35"/>
        <v/>
      </c>
      <c r="J71" s="65"/>
      <c r="K71" s="61">
        <v>2.0</v>
      </c>
      <c r="L71" s="62">
        <f t="shared" si="36"/>
        <v>2</v>
      </c>
      <c r="N71" s="18" t="s">
        <v>42</v>
      </c>
      <c r="O71" s="13">
        <f t="shared" si="37"/>
        <v>0</v>
      </c>
      <c r="P71" s="60">
        <v>3.0</v>
      </c>
      <c r="Q71" s="61">
        <v>2.0</v>
      </c>
      <c r="R71" s="62">
        <f t="shared" si="38"/>
        <v>0</v>
      </c>
      <c r="AA71" s="2"/>
    </row>
    <row r="72" ht="12.75" customHeight="1">
      <c r="A72" s="17"/>
      <c r="B72" s="18" t="s">
        <v>43</v>
      </c>
      <c r="C72" s="13">
        <f t="shared" si="33"/>
        <v>2</v>
      </c>
      <c r="D72" s="76">
        <v>2.0</v>
      </c>
      <c r="E72" s="74"/>
      <c r="F72" s="62" t="str">
        <f t="shared" si="34"/>
        <v/>
      </c>
      <c r="H72" s="18" t="s">
        <v>43</v>
      </c>
      <c r="I72" s="13" t="str">
        <f t="shared" si="35"/>
        <v/>
      </c>
      <c r="J72" s="65"/>
      <c r="K72" s="61">
        <v>2.0</v>
      </c>
      <c r="L72" s="62">
        <f t="shared" si="36"/>
        <v>2</v>
      </c>
      <c r="N72" s="18" t="s">
        <v>43</v>
      </c>
      <c r="O72" s="13">
        <f t="shared" si="37"/>
        <v>2</v>
      </c>
      <c r="P72" s="60">
        <v>2.0</v>
      </c>
      <c r="Q72" s="64"/>
      <c r="R72" s="62" t="str">
        <f t="shared" si="38"/>
        <v/>
      </c>
      <c r="AA72" s="2"/>
    </row>
    <row r="73" ht="12.75" customHeight="1">
      <c r="A73" s="17"/>
      <c r="B73" s="18" t="s">
        <v>44</v>
      </c>
      <c r="C73" s="13">
        <f t="shared" si="33"/>
        <v>3</v>
      </c>
      <c r="D73" s="78">
        <v>3.0</v>
      </c>
      <c r="E73" s="74"/>
      <c r="F73" s="62" t="str">
        <f t="shared" si="34"/>
        <v/>
      </c>
      <c r="H73" s="18" t="s">
        <v>44</v>
      </c>
      <c r="I73" s="13">
        <f t="shared" si="35"/>
        <v>2</v>
      </c>
      <c r="J73" s="60">
        <v>2.0</v>
      </c>
      <c r="K73" s="64"/>
      <c r="L73" s="62" t="str">
        <f t="shared" si="36"/>
        <v/>
      </c>
      <c r="N73" s="18" t="s">
        <v>44</v>
      </c>
      <c r="O73" s="13">
        <f t="shared" si="37"/>
        <v>3</v>
      </c>
      <c r="P73" s="60">
        <v>3.0</v>
      </c>
      <c r="Q73" s="64"/>
      <c r="R73" s="62" t="str">
        <f t="shared" si="38"/>
        <v/>
      </c>
      <c r="AA73" s="2"/>
    </row>
    <row r="74" ht="12.75" customHeight="1">
      <c r="A74" s="17"/>
      <c r="B74" s="18" t="s">
        <v>45</v>
      </c>
      <c r="C74" s="13" t="str">
        <f t="shared" si="33"/>
        <v/>
      </c>
      <c r="D74" s="74"/>
      <c r="E74" s="77">
        <v>2.0</v>
      </c>
      <c r="F74" s="62">
        <f t="shared" si="34"/>
        <v>2</v>
      </c>
      <c r="H74" s="18" t="s">
        <v>45</v>
      </c>
      <c r="I74" s="13">
        <f t="shared" si="35"/>
        <v>2</v>
      </c>
      <c r="J74" s="60">
        <v>2.0</v>
      </c>
      <c r="K74" s="64"/>
      <c r="L74" s="62" t="str">
        <f t="shared" si="36"/>
        <v/>
      </c>
      <c r="N74" s="18" t="s">
        <v>45</v>
      </c>
      <c r="O74" s="13">
        <f t="shared" si="37"/>
        <v>2</v>
      </c>
      <c r="P74" s="60">
        <v>2.0</v>
      </c>
      <c r="Q74" s="64"/>
      <c r="R74" s="62" t="str">
        <f t="shared" si="38"/>
        <v/>
      </c>
      <c r="AA74" s="2"/>
    </row>
    <row r="75" ht="12.75" customHeight="1">
      <c r="A75" s="17"/>
      <c r="B75" s="18" t="s">
        <v>46</v>
      </c>
      <c r="C75" s="13" t="str">
        <f t="shared" si="33"/>
        <v/>
      </c>
      <c r="D75" s="74"/>
      <c r="E75" s="79">
        <v>2.0</v>
      </c>
      <c r="F75" s="62">
        <f t="shared" si="34"/>
        <v>2</v>
      </c>
      <c r="H75" s="18" t="s">
        <v>46</v>
      </c>
      <c r="I75" s="13">
        <f t="shared" si="35"/>
        <v>0</v>
      </c>
      <c r="J75" s="60">
        <v>2.0</v>
      </c>
      <c r="K75" s="61">
        <v>3.0</v>
      </c>
      <c r="L75" s="62">
        <f t="shared" si="36"/>
        <v>0</v>
      </c>
      <c r="N75" s="18" t="s">
        <v>46</v>
      </c>
      <c r="O75" s="13">
        <f t="shared" si="37"/>
        <v>2</v>
      </c>
      <c r="P75" s="60">
        <v>2.0</v>
      </c>
      <c r="Q75" s="64"/>
      <c r="R75" s="62" t="str">
        <f t="shared" si="38"/>
        <v/>
      </c>
      <c r="AA75" s="2"/>
    </row>
    <row r="76" ht="12.75" customHeight="1">
      <c r="A76" s="17"/>
      <c r="B76" s="18" t="s">
        <v>47</v>
      </c>
      <c r="C76" s="13">
        <f t="shared" si="33"/>
        <v>3</v>
      </c>
      <c r="D76" s="76">
        <v>3.0</v>
      </c>
      <c r="E76" s="74"/>
      <c r="F76" s="62" t="str">
        <f t="shared" si="34"/>
        <v/>
      </c>
      <c r="H76" s="18" t="s">
        <v>47</v>
      </c>
      <c r="I76" s="13" t="str">
        <f t="shared" si="35"/>
        <v/>
      </c>
      <c r="J76" s="65"/>
      <c r="K76" s="61">
        <v>2.0</v>
      </c>
      <c r="L76" s="62">
        <f t="shared" si="36"/>
        <v>2</v>
      </c>
      <c r="N76" s="18" t="s">
        <v>47</v>
      </c>
      <c r="O76" s="13" t="str">
        <f t="shared" si="37"/>
        <v/>
      </c>
      <c r="P76" s="65"/>
      <c r="Q76" s="64"/>
      <c r="R76" s="62" t="str">
        <f t="shared" si="38"/>
        <v/>
      </c>
      <c r="AA76" s="2"/>
    </row>
    <row r="77" ht="12.75" customHeight="1">
      <c r="A77" s="17"/>
      <c r="B77" s="18" t="s">
        <v>48</v>
      </c>
      <c r="C77" s="13" t="str">
        <f t="shared" si="33"/>
        <v/>
      </c>
      <c r="D77" s="80"/>
      <c r="E77" s="80"/>
      <c r="F77" s="62" t="str">
        <f t="shared" si="34"/>
        <v/>
      </c>
      <c r="H77" s="18" t="s">
        <v>48</v>
      </c>
      <c r="I77" s="13" t="str">
        <f t="shared" si="35"/>
        <v/>
      </c>
      <c r="J77" s="65"/>
      <c r="K77" s="64"/>
      <c r="L77" s="62" t="str">
        <f t="shared" si="36"/>
        <v/>
      </c>
      <c r="N77" s="18" t="s">
        <v>48</v>
      </c>
      <c r="O77" s="13" t="str">
        <f t="shared" si="37"/>
        <v/>
      </c>
      <c r="P77" s="65"/>
      <c r="Q77" s="64"/>
      <c r="R77" s="62" t="str">
        <f t="shared" si="38"/>
        <v/>
      </c>
      <c r="AA77" s="2"/>
    </row>
    <row r="78" ht="12.75" customHeight="1">
      <c r="A78" s="17"/>
      <c r="B78" s="18" t="s">
        <v>49</v>
      </c>
      <c r="C78" s="13" t="str">
        <f t="shared" si="33"/>
        <v/>
      </c>
      <c r="D78" s="65"/>
      <c r="E78" s="64"/>
      <c r="F78" s="62" t="str">
        <f t="shared" si="34"/>
        <v/>
      </c>
      <c r="H78" s="18" t="s">
        <v>49</v>
      </c>
      <c r="I78" s="13" t="str">
        <f t="shared" si="35"/>
        <v/>
      </c>
      <c r="J78" s="65"/>
      <c r="K78" s="64"/>
      <c r="L78" s="62" t="str">
        <f t="shared" si="36"/>
        <v/>
      </c>
      <c r="N78" s="18" t="s">
        <v>49</v>
      </c>
      <c r="O78" s="13" t="str">
        <f t="shared" si="37"/>
        <v/>
      </c>
      <c r="P78" s="65"/>
      <c r="Q78" s="64"/>
      <c r="R78" s="62" t="str">
        <f t="shared" si="38"/>
        <v/>
      </c>
      <c r="AA78" s="2"/>
    </row>
    <row r="79" ht="12.75" customHeight="1">
      <c r="A79" s="17"/>
      <c r="B79" s="18" t="s">
        <v>50</v>
      </c>
      <c r="C79" s="13" t="str">
        <f t="shared" si="33"/>
        <v/>
      </c>
      <c r="D79" s="65"/>
      <c r="E79" s="64"/>
      <c r="F79" s="62" t="str">
        <f t="shared" si="34"/>
        <v/>
      </c>
      <c r="H79" s="18" t="s">
        <v>50</v>
      </c>
      <c r="I79" s="13" t="str">
        <f t="shared" si="35"/>
        <v/>
      </c>
      <c r="J79" s="65"/>
      <c r="K79" s="64"/>
      <c r="L79" s="62" t="str">
        <f t="shared" si="36"/>
        <v/>
      </c>
      <c r="N79" s="18" t="s">
        <v>50</v>
      </c>
      <c r="O79" s="13" t="str">
        <f t="shared" si="37"/>
        <v/>
      </c>
      <c r="P79" s="65"/>
      <c r="Q79" s="64"/>
      <c r="R79" s="62" t="str">
        <f t="shared" si="38"/>
        <v/>
      </c>
      <c r="AA79" s="2"/>
    </row>
    <row r="80" ht="12.75" customHeight="1">
      <c r="A80" s="17"/>
      <c r="B80" s="18" t="s">
        <v>51</v>
      </c>
      <c r="C80" s="13" t="str">
        <f t="shared" si="33"/>
        <v/>
      </c>
      <c r="D80" s="66"/>
      <c r="E80" s="69"/>
      <c r="F80" s="62" t="str">
        <f t="shared" si="34"/>
        <v/>
      </c>
      <c r="H80" s="18" t="s">
        <v>51</v>
      </c>
      <c r="I80" s="13" t="str">
        <f t="shared" si="35"/>
        <v/>
      </c>
      <c r="J80" s="66"/>
      <c r="K80" s="69"/>
      <c r="L80" s="62" t="str">
        <f t="shared" si="36"/>
        <v/>
      </c>
      <c r="N80" s="18" t="s">
        <v>51</v>
      </c>
      <c r="O80" s="13" t="str">
        <f t="shared" si="37"/>
        <v/>
      </c>
      <c r="P80" s="66"/>
      <c r="Q80" s="69"/>
      <c r="R80" s="62" t="str">
        <f t="shared" si="38"/>
        <v/>
      </c>
      <c r="AA80" s="2"/>
    </row>
    <row r="81" ht="12.75" customHeight="1">
      <c r="A81" s="17"/>
      <c r="B81" s="18" t="s">
        <v>52</v>
      </c>
      <c r="C81" s="33">
        <f>SUM(C66:C80)</f>
        <v>12</v>
      </c>
      <c r="D81" s="33">
        <f>COUNTIFS(D66:D80, "&lt;&gt;0", D66:D80, "&lt;&gt;", E66:E80, "&lt;&gt;0", E66:E80, "&lt;&gt;")</f>
        <v>1</v>
      </c>
      <c r="E81" s="33">
        <f>COUNTIFS(D66:D80, "&lt;&gt;0", D66:D80, "&lt;&gt;", E66:E80, "&lt;&gt;0", E66:E80, "&lt;&gt;")</f>
        <v>1</v>
      </c>
      <c r="F81" s="33">
        <f>SUM(F66:F80)</f>
        <v>12</v>
      </c>
      <c r="H81" s="18" t="s">
        <v>52</v>
      </c>
      <c r="I81" s="33">
        <f>SUM(I66:I80)</f>
        <v>9</v>
      </c>
      <c r="J81" s="33">
        <f>COUNTIFS(J66:J80, "&lt;&gt;0", J66:J80, "&lt;&gt;", K66:K80, "&lt;&gt;0", K66:K80, "&lt;&gt;")</f>
        <v>3</v>
      </c>
      <c r="K81" s="33">
        <f>COUNTIFS(J66:J80, "&lt;&gt;0", J66:J80, "&lt;&gt;", K66:K80, "&lt;&gt;0", K66:K80, "&lt;&gt;")</f>
        <v>3</v>
      </c>
      <c r="L81" s="33">
        <f>SUM(L66:L80)</f>
        <v>8</v>
      </c>
      <c r="N81" s="18" t="s">
        <v>52</v>
      </c>
      <c r="O81" s="33">
        <f>SUM(O66:O80)</f>
        <v>9</v>
      </c>
      <c r="P81" s="33">
        <f>COUNTIFS(P66:P80, "&lt;&gt;0", P66:P80, "&lt;&gt;", Q66:Q80, "&lt;&gt;0", Q66:Q80, "&lt;&gt;")</f>
        <v>3</v>
      </c>
      <c r="Q81" s="33">
        <f>COUNTIFS(P66:P80, "&lt;&gt;0", P66:P80, "&lt;&gt;", Q66:Q80, "&lt;&gt;0", Q66:Q80, "&lt;&gt;")</f>
        <v>3</v>
      </c>
      <c r="R81" s="33">
        <f>SUM(R66:R80)</f>
        <v>6</v>
      </c>
      <c r="AA81" s="2"/>
    </row>
    <row r="82" ht="12.75" customHeight="1">
      <c r="A82" s="17"/>
      <c r="B82" s="17" t="s">
        <v>53</v>
      </c>
      <c r="C82" s="70">
        <f>D82</f>
        <v>0</v>
      </c>
      <c r="D82" s="71">
        <f>IF(C81&gt;F81, 1, (IF(C81=F81, 0, -1)))</f>
        <v>0</v>
      </c>
      <c r="E82" s="33">
        <f>IF(F81&gt;C81, 1, (IF(F81=C81, 0, -1)))</f>
        <v>0</v>
      </c>
      <c r="F82" s="70">
        <f>E82</f>
        <v>0</v>
      </c>
      <c r="H82" s="17" t="s">
        <v>53</v>
      </c>
      <c r="I82" s="70">
        <f>J82</f>
        <v>1</v>
      </c>
      <c r="J82" s="71">
        <f>IF(I81&gt;L81, 1, (IF(I81=L81, 0, -1)))</f>
        <v>1</v>
      </c>
      <c r="K82" s="33">
        <f>IF(L81&gt;I81, 1, (IF(L81=I81, 0, -1)))</f>
        <v>-1</v>
      </c>
      <c r="L82" s="70">
        <f>K82</f>
        <v>-1</v>
      </c>
      <c r="N82" s="17" t="s">
        <v>53</v>
      </c>
      <c r="O82" s="70">
        <f>P82</f>
        <v>1</v>
      </c>
      <c r="P82" s="71">
        <f>IF(O81&gt;R81, 1, (IF(O81=R81, 0, -1)))</f>
        <v>1</v>
      </c>
      <c r="Q82" s="33">
        <f>IF(R81&gt;O81, 1, (IF(R81=O81, 0, -1)))</f>
        <v>-1</v>
      </c>
      <c r="R82" s="70">
        <f>Q82</f>
        <v>-1</v>
      </c>
      <c r="AA82" s="2"/>
    </row>
    <row r="83" ht="12.75" customHeight="1">
      <c r="A83" s="72"/>
      <c r="B83" s="72"/>
      <c r="H83" s="72"/>
      <c r="N83" s="72"/>
      <c r="AA83" s="2"/>
    </row>
    <row r="84" ht="12.75" customHeight="1">
      <c r="A84" s="72"/>
      <c r="B84" s="72"/>
      <c r="H84" s="72"/>
      <c r="N84" s="72"/>
      <c r="AA84" s="2"/>
    </row>
    <row r="85" ht="12.75" customHeight="1">
      <c r="A85" s="17"/>
      <c r="B85" s="18" t="s">
        <v>14</v>
      </c>
      <c r="C85" s="58" t="str">
        <f>T29</f>
        <v>Ronald</v>
      </c>
      <c r="D85" s="15"/>
      <c r="E85" s="59" t="str">
        <f>T28</f>
        <v>Teake</v>
      </c>
      <c r="F85" s="15"/>
      <c r="H85" s="18" t="s">
        <v>25</v>
      </c>
      <c r="I85" s="58" t="str">
        <f>T24</f>
        <v>Diego</v>
      </c>
      <c r="J85" s="15"/>
      <c r="K85" s="59" t="str">
        <f>T26</f>
        <v>Tim the Burgundy Enchanter</v>
      </c>
      <c r="L85" s="15"/>
      <c r="N85" s="18" t="s">
        <v>32</v>
      </c>
      <c r="O85" s="58" t="str">
        <f>T27</f>
        <v>Teun</v>
      </c>
      <c r="P85" s="15"/>
      <c r="Q85" s="59" t="str">
        <f>T29</f>
        <v>Ronald</v>
      </c>
      <c r="R85" s="15"/>
      <c r="AA85" s="2"/>
    </row>
    <row r="86" ht="12.75" customHeight="1">
      <c r="A86" s="17"/>
      <c r="B86" s="18" t="s">
        <v>36</v>
      </c>
      <c r="C86" s="13">
        <f t="shared" ref="C86:C100" si="39">IF(AND(D86&gt;0,E86&gt;0), 0, D86)</f>
        <v>2</v>
      </c>
      <c r="D86" s="60">
        <v>2.0</v>
      </c>
      <c r="E86" s="61"/>
      <c r="F86" s="62" t="str">
        <f t="shared" ref="F86:F100" si="40">IF(AND(D86&gt;0,E86&gt;0), 0, E86)</f>
        <v/>
      </c>
      <c r="H86" s="18" t="s">
        <v>36</v>
      </c>
      <c r="I86" s="13">
        <f t="shared" ref="I86:I100" si="41">IF(AND(J86&gt;0,K86&gt;0), 0, J86)</f>
        <v>0</v>
      </c>
      <c r="J86" s="60">
        <v>2.0</v>
      </c>
      <c r="K86" s="61">
        <v>2.0</v>
      </c>
      <c r="L86" s="62">
        <f t="shared" ref="L86:L100" si="42">IF(AND(J86&gt;0,K86&gt;0), 0, K86)</f>
        <v>0</v>
      </c>
      <c r="N86" s="18" t="s">
        <v>36</v>
      </c>
      <c r="O86" s="13" t="str">
        <f t="shared" ref="O86:O100" si="43">IF(AND(P86&gt;0,Q86&gt;0), 0, P86)</f>
        <v/>
      </c>
      <c r="P86" s="60"/>
      <c r="Q86" s="61">
        <v>3.0</v>
      </c>
      <c r="R86" s="62">
        <f t="shared" ref="R86:R100" si="44">IF(AND(P86&gt;0,Q86&gt;0), 0, Q86)</f>
        <v>3</v>
      </c>
      <c r="AA86" s="2"/>
    </row>
    <row r="87" ht="12.75" customHeight="1">
      <c r="A87" s="17"/>
      <c r="B87" s="18" t="s">
        <v>37</v>
      </c>
      <c r="C87" s="13">
        <f t="shared" si="39"/>
        <v>0</v>
      </c>
      <c r="D87" s="60">
        <v>2.0</v>
      </c>
      <c r="E87" s="61">
        <v>2.0</v>
      </c>
      <c r="F87" s="62">
        <f t="shared" si="40"/>
        <v>0</v>
      </c>
      <c r="H87" s="18" t="s">
        <v>37</v>
      </c>
      <c r="I87" s="13" t="str">
        <f t="shared" si="41"/>
        <v/>
      </c>
      <c r="J87" s="65"/>
      <c r="K87" s="61">
        <v>2.0</v>
      </c>
      <c r="L87" s="62">
        <f t="shared" si="42"/>
        <v>2</v>
      </c>
      <c r="N87" s="18" t="s">
        <v>37</v>
      </c>
      <c r="O87" s="13" t="str">
        <f t="shared" si="43"/>
        <v/>
      </c>
      <c r="P87" s="65"/>
      <c r="Q87" s="61">
        <v>3.0</v>
      </c>
      <c r="R87" s="62">
        <f t="shared" si="44"/>
        <v>3</v>
      </c>
      <c r="AA87" s="2"/>
    </row>
    <row r="88" ht="12.75" customHeight="1">
      <c r="A88" s="17"/>
      <c r="B88" s="18" t="s">
        <v>38</v>
      </c>
      <c r="C88" s="13">
        <f t="shared" si="39"/>
        <v>2</v>
      </c>
      <c r="D88" s="60">
        <v>2.0</v>
      </c>
      <c r="E88" s="64"/>
      <c r="F88" s="62" t="str">
        <f t="shared" si="40"/>
        <v/>
      </c>
      <c r="H88" s="18" t="s">
        <v>38</v>
      </c>
      <c r="I88" s="13" t="str">
        <f t="shared" si="41"/>
        <v/>
      </c>
      <c r="J88" s="65"/>
      <c r="K88" s="61">
        <v>2.0</v>
      </c>
      <c r="L88" s="62">
        <f t="shared" si="42"/>
        <v>2</v>
      </c>
      <c r="N88" s="18" t="s">
        <v>38</v>
      </c>
      <c r="O88" s="13">
        <f t="shared" si="43"/>
        <v>2</v>
      </c>
      <c r="P88" s="60">
        <v>2.0</v>
      </c>
      <c r="Q88" s="64"/>
      <c r="R88" s="62" t="str">
        <f t="shared" si="44"/>
        <v/>
      </c>
      <c r="AA88" s="2"/>
    </row>
    <row r="89" ht="12.75" customHeight="1">
      <c r="A89" s="17"/>
      <c r="B89" s="18" t="s">
        <v>39</v>
      </c>
      <c r="C89" s="13">
        <f t="shared" si="39"/>
        <v>3</v>
      </c>
      <c r="D89" s="60">
        <v>3.0</v>
      </c>
      <c r="E89" s="64"/>
      <c r="F89" s="62" t="str">
        <f t="shared" si="40"/>
        <v/>
      </c>
      <c r="H89" s="18" t="s">
        <v>39</v>
      </c>
      <c r="I89" s="13">
        <f t="shared" si="41"/>
        <v>3</v>
      </c>
      <c r="J89" s="60">
        <v>3.0</v>
      </c>
      <c r="K89" s="64"/>
      <c r="L89" s="62" t="str">
        <f t="shared" si="42"/>
        <v/>
      </c>
      <c r="N89" s="18" t="s">
        <v>39</v>
      </c>
      <c r="O89" s="13">
        <f t="shared" si="43"/>
        <v>2</v>
      </c>
      <c r="P89" s="60">
        <v>2.0</v>
      </c>
      <c r="Q89" s="64"/>
      <c r="R89" s="62" t="str">
        <f t="shared" si="44"/>
        <v/>
      </c>
      <c r="AA89" s="2"/>
    </row>
    <row r="90" ht="12.75" customHeight="1">
      <c r="A90" s="17"/>
      <c r="B90" s="18" t="s">
        <v>40</v>
      </c>
      <c r="C90" s="13">
        <f t="shared" si="39"/>
        <v>0</v>
      </c>
      <c r="D90" s="60">
        <v>2.0</v>
      </c>
      <c r="E90" s="61">
        <v>3.0</v>
      </c>
      <c r="F90" s="62">
        <f t="shared" si="40"/>
        <v>0</v>
      </c>
      <c r="H90" s="18" t="s">
        <v>40</v>
      </c>
      <c r="I90" s="13">
        <f t="shared" si="41"/>
        <v>0</v>
      </c>
      <c r="J90" s="68">
        <v>2.0</v>
      </c>
      <c r="K90" s="67">
        <v>2.0</v>
      </c>
      <c r="L90" s="62">
        <f t="shared" si="42"/>
        <v>0</v>
      </c>
      <c r="N90" s="18" t="s">
        <v>40</v>
      </c>
      <c r="O90" s="13">
        <f t="shared" si="43"/>
        <v>2</v>
      </c>
      <c r="P90" s="60">
        <v>2.0</v>
      </c>
      <c r="Q90" s="64"/>
      <c r="R90" s="62" t="str">
        <f t="shared" si="44"/>
        <v/>
      </c>
      <c r="AA90" s="2"/>
    </row>
    <row r="91" ht="12.75" customHeight="1">
      <c r="A91" s="17"/>
      <c r="B91" s="18" t="s">
        <v>42</v>
      </c>
      <c r="C91" s="13">
        <f t="shared" si="39"/>
        <v>0</v>
      </c>
      <c r="D91" s="60">
        <v>2.0</v>
      </c>
      <c r="E91" s="61">
        <v>2.0</v>
      </c>
      <c r="F91" s="62">
        <f t="shared" si="40"/>
        <v>0</v>
      </c>
      <c r="H91" s="18" t="s">
        <v>42</v>
      </c>
      <c r="I91" s="13" t="str">
        <f t="shared" si="41"/>
        <v/>
      </c>
      <c r="J91" s="66"/>
      <c r="K91" s="67">
        <v>3.0</v>
      </c>
      <c r="L91" s="62">
        <f t="shared" si="42"/>
        <v>3</v>
      </c>
      <c r="N91" s="18" t="s">
        <v>42</v>
      </c>
      <c r="O91" s="13" t="str">
        <f t="shared" si="43"/>
        <v/>
      </c>
      <c r="P91" s="65"/>
      <c r="Q91" s="61">
        <v>2.0</v>
      </c>
      <c r="R91" s="62">
        <f t="shared" si="44"/>
        <v>2</v>
      </c>
      <c r="AA91" s="2"/>
    </row>
    <row r="92" ht="12.75" customHeight="1">
      <c r="A92" s="17"/>
      <c r="B92" s="18" t="s">
        <v>43</v>
      </c>
      <c r="C92" s="13">
        <f t="shared" si="39"/>
        <v>2</v>
      </c>
      <c r="D92" s="60">
        <v>2.0</v>
      </c>
      <c r="E92" s="64"/>
      <c r="F92" s="62" t="str">
        <f t="shared" si="40"/>
        <v/>
      </c>
      <c r="H92" s="18" t="s">
        <v>43</v>
      </c>
      <c r="I92" s="13">
        <f t="shared" si="41"/>
        <v>0</v>
      </c>
      <c r="J92" s="68">
        <v>3.0</v>
      </c>
      <c r="K92" s="67">
        <v>2.0</v>
      </c>
      <c r="L92" s="62">
        <f t="shared" si="42"/>
        <v>0</v>
      </c>
      <c r="N92" s="18" t="s">
        <v>43</v>
      </c>
      <c r="O92" s="13" t="str">
        <f t="shared" si="43"/>
        <v/>
      </c>
      <c r="P92" s="65"/>
      <c r="Q92" s="61">
        <v>2.0</v>
      </c>
      <c r="R92" s="62">
        <f t="shared" si="44"/>
        <v>2</v>
      </c>
      <c r="AA92" s="2"/>
    </row>
    <row r="93" ht="12.75" customHeight="1">
      <c r="A93" s="17"/>
      <c r="B93" s="18" t="s">
        <v>44</v>
      </c>
      <c r="C93" s="13">
        <f t="shared" si="39"/>
        <v>2</v>
      </c>
      <c r="D93" s="60">
        <v>2.0</v>
      </c>
      <c r="E93" s="64"/>
      <c r="F93" s="62" t="str">
        <f t="shared" si="40"/>
        <v/>
      </c>
      <c r="H93" s="18" t="s">
        <v>44</v>
      </c>
      <c r="I93" s="13" t="str">
        <f t="shared" si="41"/>
        <v/>
      </c>
      <c r="J93" s="66"/>
      <c r="K93" s="69"/>
      <c r="L93" s="62" t="str">
        <f t="shared" si="42"/>
        <v/>
      </c>
      <c r="N93" s="18" t="s">
        <v>44</v>
      </c>
      <c r="O93" s="13">
        <f t="shared" si="43"/>
        <v>0</v>
      </c>
      <c r="P93" s="60">
        <v>3.0</v>
      </c>
      <c r="Q93" s="61">
        <v>2.0</v>
      </c>
      <c r="R93" s="62">
        <f t="shared" si="44"/>
        <v>0</v>
      </c>
      <c r="AA93" s="2"/>
    </row>
    <row r="94" ht="12.75" customHeight="1">
      <c r="A94" s="17"/>
      <c r="B94" s="18" t="s">
        <v>45</v>
      </c>
      <c r="C94" s="13" t="str">
        <f t="shared" si="39"/>
        <v/>
      </c>
      <c r="D94" s="65"/>
      <c r="E94" s="61">
        <v>3.0</v>
      </c>
      <c r="F94" s="62">
        <f t="shared" si="40"/>
        <v>3</v>
      </c>
      <c r="H94" s="18" t="s">
        <v>45</v>
      </c>
      <c r="I94" s="13" t="str">
        <f t="shared" si="41"/>
        <v/>
      </c>
      <c r="J94" s="66"/>
      <c r="K94" s="69"/>
      <c r="L94" s="62" t="str">
        <f t="shared" si="42"/>
        <v/>
      </c>
      <c r="N94" s="18" t="s">
        <v>45</v>
      </c>
      <c r="O94" s="13" t="str">
        <f t="shared" si="43"/>
        <v/>
      </c>
      <c r="P94" s="65"/>
      <c r="Q94" s="64"/>
      <c r="R94" s="62" t="str">
        <f t="shared" si="44"/>
        <v/>
      </c>
      <c r="AA94" s="2"/>
    </row>
    <row r="95" ht="12.75" customHeight="1">
      <c r="A95" s="17"/>
      <c r="B95" s="18" t="s">
        <v>46</v>
      </c>
      <c r="C95" s="13" t="str">
        <f t="shared" si="39"/>
        <v/>
      </c>
      <c r="D95" s="66"/>
      <c r="E95" s="67">
        <v>2.0</v>
      </c>
      <c r="F95" s="62">
        <f t="shared" si="40"/>
        <v>2</v>
      </c>
      <c r="H95" s="18" t="s">
        <v>46</v>
      </c>
      <c r="I95" s="13" t="str">
        <f t="shared" si="41"/>
        <v/>
      </c>
      <c r="J95" s="66"/>
      <c r="K95" s="69"/>
      <c r="L95" s="62" t="str">
        <f t="shared" si="42"/>
        <v/>
      </c>
      <c r="N95" s="18" t="s">
        <v>46</v>
      </c>
      <c r="O95" s="13" t="str">
        <f t="shared" si="43"/>
        <v/>
      </c>
      <c r="P95" s="65"/>
      <c r="Q95" s="64"/>
      <c r="R95" s="62" t="str">
        <f t="shared" si="44"/>
        <v/>
      </c>
      <c r="AA95" s="2"/>
    </row>
    <row r="96" ht="12.75" customHeight="1">
      <c r="A96" s="17"/>
      <c r="B96" s="18" t="s">
        <v>47</v>
      </c>
      <c r="C96" s="13" t="str">
        <f t="shared" si="39"/>
        <v/>
      </c>
      <c r="D96" s="66"/>
      <c r="E96" s="69"/>
      <c r="F96" s="62" t="str">
        <f t="shared" si="40"/>
        <v/>
      </c>
      <c r="H96" s="18" t="s">
        <v>47</v>
      </c>
      <c r="I96" s="13" t="str">
        <f t="shared" si="41"/>
        <v/>
      </c>
      <c r="J96" s="66"/>
      <c r="K96" s="69"/>
      <c r="L96" s="62" t="str">
        <f t="shared" si="42"/>
        <v/>
      </c>
      <c r="N96" s="18" t="s">
        <v>47</v>
      </c>
      <c r="O96" s="13" t="str">
        <f t="shared" si="43"/>
        <v/>
      </c>
      <c r="P96" s="65"/>
      <c r="Q96" s="64"/>
      <c r="R96" s="62" t="str">
        <f t="shared" si="44"/>
        <v/>
      </c>
      <c r="AA96" s="2"/>
    </row>
    <row r="97" ht="12.75" customHeight="1">
      <c r="A97" s="17"/>
      <c r="B97" s="18" t="s">
        <v>48</v>
      </c>
      <c r="C97" s="13" t="str">
        <f t="shared" si="39"/>
        <v/>
      </c>
      <c r="D97" s="66"/>
      <c r="E97" s="69"/>
      <c r="F97" s="62" t="str">
        <f t="shared" si="40"/>
        <v/>
      </c>
      <c r="H97" s="18" t="s">
        <v>48</v>
      </c>
      <c r="I97" s="13" t="str">
        <f t="shared" si="41"/>
        <v/>
      </c>
      <c r="J97" s="66"/>
      <c r="K97" s="69"/>
      <c r="L97" s="62" t="str">
        <f t="shared" si="42"/>
        <v/>
      </c>
      <c r="N97" s="18" t="s">
        <v>48</v>
      </c>
      <c r="O97" s="13" t="str">
        <f t="shared" si="43"/>
        <v/>
      </c>
      <c r="P97" s="65"/>
      <c r="Q97" s="64"/>
      <c r="R97" s="62" t="str">
        <f t="shared" si="44"/>
        <v/>
      </c>
      <c r="AA97" s="2"/>
    </row>
    <row r="98" ht="12.75" customHeight="1">
      <c r="A98" s="17"/>
      <c r="B98" s="18" t="s">
        <v>49</v>
      </c>
      <c r="C98" s="13" t="str">
        <f t="shared" si="39"/>
        <v/>
      </c>
      <c r="D98" s="66"/>
      <c r="E98" s="69"/>
      <c r="F98" s="62" t="str">
        <f t="shared" si="40"/>
        <v/>
      </c>
      <c r="H98" s="18" t="s">
        <v>49</v>
      </c>
      <c r="I98" s="13" t="str">
        <f t="shared" si="41"/>
        <v/>
      </c>
      <c r="J98" s="66"/>
      <c r="K98" s="69"/>
      <c r="L98" s="62" t="str">
        <f t="shared" si="42"/>
        <v/>
      </c>
      <c r="N98" s="18" t="s">
        <v>49</v>
      </c>
      <c r="O98" s="13" t="str">
        <f t="shared" si="43"/>
        <v/>
      </c>
      <c r="P98" s="65"/>
      <c r="Q98" s="64"/>
      <c r="R98" s="62" t="str">
        <f t="shared" si="44"/>
        <v/>
      </c>
      <c r="AA98" s="2"/>
    </row>
    <row r="99" ht="12.75" customHeight="1">
      <c r="A99" s="17"/>
      <c r="B99" s="18" t="s">
        <v>50</v>
      </c>
      <c r="C99" s="13" t="str">
        <f t="shared" si="39"/>
        <v/>
      </c>
      <c r="D99" s="66"/>
      <c r="E99" s="69"/>
      <c r="F99" s="62" t="str">
        <f t="shared" si="40"/>
        <v/>
      </c>
      <c r="H99" s="18" t="s">
        <v>50</v>
      </c>
      <c r="I99" s="13" t="str">
        <f t="shared" si="41"/>
        <v/>
      </c>
      <c r="J99" s="66"/>
      <c r="K99" s="69"/>
      <c r="L99" s="62" t="str">
        <f t="shared" si="42"/>
        <v/>
      </c>
      <c r="N99" s="18" t="s">
        <v>50</v>
      </c>
      <c r="O99" s="13" t="str">
        <f t="shared" si="43"/>
        <v/>
      </c>
      <c r="P99" s="65"/>
      <c r="Q99" s="64"/>
      <c r="R99" s="62" t="str">
        <f t="shared" si="44"/>
        <v/>
      </c>
      <c r="AA99" s="2"/>
    </row>
    <row r="100" ht="12.75" customHeight="1">
      <c r="A100" s="17"/>
      <c r="B100" s="18" t="s">
        <v>51</v>
      </c>
      <c r="C100" s="13" t="str">
        <f t="shared" si="39"/>
        <v/>
      </c>
      <c r="D100" s="66"/>
      <c r="E100" s="69"/>
      <c r="F100" s="62" t="str">
        <f t="shared" si="40"/>
        <v/>
      </c>
      <c r="H100" s="18" t="s">
        <v>51</v>
      </c>
      <c r="I100" s="13" t="str">
        <f t="shared" si="41"/>
        <v/>
      </c>
      <c r="J100" s="66"/>
      <c r="K100" s="69"/>
      <c r="L100" s="62" t="str">
        <f t="shared" si="42"/>
        <v/>
      </c>
      <c r="N100" s="18" t="s">
        <v>51</v>
      </c>
      <c r="O100" s="13" t="str">
        <f t="shared" si="43"/>
        <v/>
      </c>
      <c r="P100" s="66"/>
      <c r="Q100" s="69"/>
      <c r="R100" s="62" t="str">
        <f t="shared" si="44"/>
        <v/>
      </c>
      <c r="AA100" s="2"/>
    </row>
    <row r="101" ht="12.75" customHeight="1">
      <c r="A101" s="17"/>
      <c r="B101" s="18" t="s">
        <v>52</v>
      </c>
      <c r="C101" s="33">
        <f>SUM(C86:C100)</f>
        <v>11</v>
      </c>
      <c r="D101" s="33">
        <f>COUNTIFS(D86:D100, "&lt;&gt;0", D86:D100, "&lt;&gt;", E86:E100, "&lt;&gt;0", E86:E100, "&lt;&gt;")</f>
        <v>3</v>
      </c>
      <c r="E101" s="33">
        <f>COUNTIFS(D86:D100, "&lt;&gt;0", D86:D100, "&lt;&gt;", E86:E100, "&lt;&gt;0", E86:E100, "&lt;&gt;")</f>
        <v>3</v>
      </c>
      <c r="F101" s="33">
        <f>SUM(F86:F100)</f>
        <v>5</v>
      </c>
      <c r="H101" s="18" t="s">
        <v>52</v>
      </c>
      <c r="I101" s="33">
        <f>SUM(I86:I100)</f>
        <v>3</v>
      </c>
      <c r="J101" s="33">
        <f>COUNTIFS(J86:J100, "&lt;&gt;0", J86:J100, "&lt;&gt;", K86:K100, "&lt;&gt;0", K86:K100, "&lt;&gt;")</f>
        <v>3</v>
      </c>
      <c r="K101" s="33">
        <f>COUNTIFS(J86:J100, "&lt;&gt;0", J86:J100, "&lt;&gt;", K86:K100, "&lt;&gt;0", K86:K100, "&lt;&gt;")</f>
        <v>3</v>
      </c>
      <c r="L101" s="33">
        <f>SUM(L86:L100)</f>
        <v>7</v>
      </c>
      <c r="N101" s="18" t="s">
        <v>52</v>
      </c>
      <c r="O101" s="33">
        <f>SUM(O86:O100)</f>
        <v>6</v>
      </c>
      <c r="P101" s="33">
        <f>COUNTIFS(P86:P100, "&lt;&gt;0", P86:P100, "&lt;&gt;", Q86:Q100, "&lt;&gt;0", Q86:Q100, "&lt;&gt;")</f>
        <v>1</v>
      </c>
      <c r="Q101" s="33">
        <f>COUNTIFS(P86:P100, "&lt;&gt;0", P86:P100, "&lt;&gt;", Q86:Q100, "&lt;&gt;0", Q86:Q100, "&lt;&gt;")</f>
        <v>1</v>
      </c>
      <c r="R101" s="33">
        <f>SUM(R86:R100)</f>
        <v>10</v>
      </c>
      <c r="AA101" s="2"/>
    </row>
    <row r="102" ht="12.75" customHeight="1">
      <c r="A102" s="17"/>
      <c r="B102" s="17" t="s">
        <v>53</v>
      </c>
      <c r="C102" s="70">
        <f>D102</f>
        <v>1</v>
      </c>
      <c r="D102" s="71">
        <f>IF(C101&gt;F101, 1, (IF(C101=F101, 0, -1)))</f>
        <v>1</v>
      </c>
      <c r="E102" s="33">
        <f>IF(F101&gt;C101, 1, (IF(F101=C101, 0, -1)))</f>
        <v>-1</v>
      </c>
      <c r="F102" s="70">
        <f>E102</f>
        <v>-1</v>
      </c>
      <c r="H102" s="17" t="s">
        <v>53</v>
      </c>
      <c r="I102" s="70">
        <f>J102</f>
        <v>-1</v>
      </c>
      <c r="J102" s="71">
        <f>IF(I101&gt;L101, 1, (IF(I101=L101, 0, -1)))</f>
        <v>-1</v>
      </c>
      <c r="K102" s="33">
        <f>IF(L101&gt;I101, 1, (IF(L101=I101, 0, -1)))</f>
        <v>1</v>
      </c>
      <c r="L102" s="70">
        <f>K102</f>
        <v>1</v>
      </c>
      <c r="N102" s="17" t="s">
        <v>53</v>
      </c>
      <c r="O102" s="70">
        <f>P102</f>
        <v>-1</v>
      </c>
      <c r="P102" s="71">
        <f>IF(O101&gt;R101, 1, (IF(O101=R101, 0, -1)))</f>
        <v>-1</v>
      </c>
      <c r="Q102" s="33">
        <f>IF(R101&gt;O101, 1, (IF(R101=O101, 0, -1)))</f>
        <v>1</v>
      </c>
      <c r="R102" s="70">
        <f>Q102</f>
        <v>1</v>
      </c>
      <c r="AA102" s="2"/>
    </row>
    <row r="103" ht="12.75" customHeight="1">
      <c r="A103" s="72"/>
      <c r="B103" s="72"/>
      <c r="H103" s="72"/>
      <c r="N103" s="72"/>
      <c r="AA103" s="2"/>
    </row>
    <row r="104" ht="12.75" customHeight="1">
      <c r="A104" s="72"/>
      <c r="B104" s="72"/>
      <c r="H104" s="72"/>
      <c r="N104" s="72"/>
      <c r="AA104" s="2"/>
    </row>
    <row r="105" ht="12.75" customHeight="1">
      <c r="A105" s="17"/>
      <c r="B105" s="18" t="s">
        <v>17</v>
      </c>
      <c r="C105" s="58" t="str">
        <f>T24</f>
        <v>Diego</v>
      </c>
      <c r="D105" s="15"/>
      <c r="E105" s="59" t="str">
        <f>T25</f>
        <v>Eminence Bruin</v>
      </c>
      <c r="F105" s="15"/>
      <c r="H105" s="18" t="s">
        <v>26</v>
      </c>
      <c r="I105" s="58" t="str">
        <f>T25</f>
        <v>Eminence Bruin</v>
      </c>
      <c r="J105" s="15"/>
      <c r="K105" s="59" t="str">
        <f>T27</f>
        <v>Teun</v>
      </c>
      <c r="L105" s="15"/>
      <c r="N105" s="18" t="s">
        <v>33</v>
      </c>
      <c r="O105" s="58" t="str">
        <f>T24</f>
        <v>Diego</v>
      </c>
      <c r="P105" s="15"/>
      <c r="Q105" s="59" t="str">
        <f>T28</f>
        <v>Teake</v>
      </c>
      <c r="R105" s="15"/>
      <c r="AA105" s="2"/>
    </row>
    <row r="106" ht="12.75" customHeight="1">
      <c r="A106" s="17"/>
      <c r="B106" s="18" t="s">
        <v>36</v>
      </c>
      <c r="C106" s="13">
        <f t="shared" ref="C106:C120" si="45">IF(AND(D106&gt;0,E106&gt;0), 0, D106)</f>
        <v>0</v>
      </c>
      <c r="D106" s="60">
        <v>2.0</v>
      </c>
      <c r="E106" s="61">
        <v>3.0</v>
      </c>
      <c r="F106" s="62">
        <f t="shared" ref="F106:F120" si="46">IF(AND(D106&gt;0,E106&gt;0), 0, E106)</f>
        <v>0</v>
      </c>
      <c r="H106" s="18" t="s">
        <v>36</v>
      </c>
      <c r="I106" s="13" t="str">
        <f t="shared" ref="I106:I120" si="47">IF(AND(J106&gt;0,K106&gt;0), 0, J106)</f>
        <v/>
      </c>
      <c r="J106" s="60"/>
      <c r="K106" s="61">
        <v>3.0</v>
      </c>
      <c r="L106" s="62">
        <f t="shared" ref="L106:L120" si="48">IF(AND(J106&gt;0,K106&gt;0), 0, K106)</f>
        <v>3</v>
      </c>
      <c r="N106" s="18" t="s">
        <v>36</v>
      </c>
      <c r="O106" s="13">
        <f t="shared" ref="O106:O120" si="49">IF(AND(P106&gt;0,Q106&gt;0), 0, P106)</f>
        <v>3</v>
      </c>
      <c r="P106" s="60">
        <v>3.0</v>
      </c>
      <c r="Q106" s="64"/>
      <c r="R106" s="62" t="str">
        <f t="shared" ref="R106:R120" si="50">IF(AND(P106&gt;0,Q106&gt;0), 0, Q106)</f>
        <v/>
      </c>
      <c r="AA106" s="2"/>
    </row>
    <row r="107" ht="12.75" customHeight="1">
      <c r="A107" s="17"/>
      <c r="B107" s="18" t="s">
        <v>37</v>
      </c>
      <c r="C107" s="13">
        <f t="shared" si="45"/>
        <v>0</v>
      </c>
      <c r="D107" s="60">
        <v>2.0</v>
      </c>
      <c r="E107" s="61">
        <v>2.0</v>
      </c>
      <c r="F107" s="62">
        <f t="shared" si="46"/>
        <v>0</v>
      </c>
      <c r="H107" s="18" t="s">
        <v>37</v>
      </c>
      <c r="I107" s="13" t="str">
        <f t="shared" si="47"/>
        <v/>
      </c>
      <c r="J107" s="60"/>
      <c r="K107" s="61">
        <v>2.0</v>
      </c>
      <c r="L107" s="62">
        <f t="shared" si="48"/>
        <v>2</v>
      </c>
      <c r="N107" s="18" t="s">
        <v>37</v>
      </c>
      <c r="O107" s="13">
        <f t="shared" si="49"/>
        <v>2</v>
      </c>
      <c r="P107" s="60">
        <v>2.0</v>
      </c>
      <c r="Q107" s="64"/>
      <c r="R107" s="62" t="str">
        <f t="shared" si="50"/>
        <v/>
      </c>
      <c r="AA107" s="2"/>
    </row>
    <row r="108" ht="12.75" customHeight="1">
      <c r="A108" s="17"/>
      <c r="B108" s="18" t="s">
        <v>38</v>
      </c>
      <c r="C108" s="13">
        <f t="shared" si="45"/>
        <v>2</v>
      </c>
      <c r="D108" s="60">
        <v>2.0</v>
      </c>
      <c r="E108" s="64"/>
      <c r="F108" s="62" t="str">
        <f t="shared" si="46"/>
        <v/>
      </c>
      <c r="H108" s="18" t="s">
        <v>38</v>
      </c>
      <c r="I108" s="13">
        <f t="shared" si="47"/>
        <v>2</v>
      </c>
      <c r="J108" s="60">
        <v>2.0</v>
      </c>
      <c r="K108" s="64"/>
      <c r="L108" s="62" t="str">
        <f t="shared" si="48"/>
        <v/>
      </c>
      <c r="N108" s="18" t="s">
        <v>38</v>
      </c>
      <c r="O108" s="13">
        <f t="shared" si="49"/>
        <v>3</v>
      </c>
      <c r="P108" s="60">
        <v>3.0</v>
      </c>
      <c r="Q108" s="64"/>
      <c r="R108" s="62" t="str">
        <f t="shared" si="50"/>
        <v/>
      </c>
      <c r="AA108" s="2"/>
    </row>
    <row r="109" ht="12.75" customHeight="1">
      <c r="A109" s="17"/>
      <c r="B109" s="18" t="s">
        <v>39</v>
      </c>
      <c r="C109" s="13">
        <f t="shared" si="45"/>
        <v>2</v>
      </c>
      <c r="D109" s="60">
        <v>2.0</v>
      </c>
      <c r="E109" s="64"/>
      <c r="F109" s="62" t="str">
        <f t="shared" si="46"/>
        <v/>
      </c>
      <c r="H109" s="18" t="s">
        <v>39</v>
      </c>
      <c r="I109" s="13">
        <f t="shared" si="47"/>
        <v>0</v>
      </c>
      <c r="J109" s="60">
        <v>3.0</v>
      </c>
      <c r="K109" s="61">
        <v>2.0</v>
      </c>
      <c r="L109" s="62">
        <f t="shared" si="48"/>
        <v>0</v>
      </c>
      <c r="N109" s="18" t="s">
        <v>39</v>
      </c>
      <c r="O109" s="13">
        <f t="shared" si="49"/>
        <v>2</v>
      </c>
      <c r="P109" s="60">
        <v>2.0</v>
      </c>
      <c r="Q109" s="64"/>
      <c r="R109" s="62" t="str">
        <f t="shared" si="50"/>
        <v/>
      </c>
      <c r="AA109" s="2"/>
    </row>
    <row r="110" ht="12.75" customHeight="1">
      <c r="A110" s="17"/>
      <c r="B110" s="18" t="s">
        <v>40</v>
      </c>
      <c r="C110" s="13" t="str">
        <f t="shared" si="45"/>
        <v/>
      </c>
      <c r="D110" s="65"/>
      <c r="E110" s="61">
        <v>2.0</v>
      </c>
      <c r="F110" s="62">
        <f t="shared" si="46"/>
        <v>2</v>
      </c>
      <c r="H110" s="18" t="s">
        <v>40</v>
      </c>
      <c r="I110" s="13" t="str">
        <f t="shared" si="47"/>
        <v/>
      </c>
      <c r="J110" s="65"/>
      <c r="K110" s="61">
        <v>2.0</v>
      </c>
      <c r="L110" s="62">
        <f t="shared" si="48"/>
        <v>2</v>
      </c>
      <c r="N110" s="18" t="s">
        <v>40</v>
      </c>
      <c r="O110" s="13">
        <f t="shared" si="49"/>
        <v>2</v>
      </c>
      <c r="P110" s="60">
        <v>2.0</v>
      </c>
      <c r="Q110" s="64"/>
      <c r="R110" s="62" t="str">
        <f t="shared" si="50"/>
        <v/>
      </c>
      <c r="AA110" s="2"/>
    </row>
    <row r="111" ht="12.75" customHeight="1">
      <c r="A111" s="17"/>
      <c r="B111" s="18" t="s">
        <v>42</v>
      </c>
      <c r="C111" s="13">
        <f t="shared" si="45"/>
        <v>2</v>
      </c>
      <c r="D111" s="60">
        <v>2.0</v>
      </c>
      <c r="E111" s="64"/>
      <c r="F111" s="62" t="str">
        <f t="shared" si="46"/>
        <v/>
      </c>
      <c r="H111" s="18" t="s">
        <v>42</v>
      </c>
      <c r="I111" s="13">
        <f t="shared" si="47"/>
        <v>2</v>
      </c>
      <c r="J111" s="60">
        <v>2.0</v>
      </c>
      <c r="K111" s="64"/>
      <c r="L111" s="62" t="str">
        <f t="shared" si="48"/>
        <v/>
      </c>
      <c r="N111" s="18" t="s">
        <v>42</v>
      </c>
      <c r="O111" s="13">
        <f t="shared" si="49"/>
        <v>2</v>
      </c>
      <c r="P111" s="60">
        <v>2.0</v>
      </c>
      <c r="Q111" s="64"/>
      <c r="R111" s="62" t="str">
        <f t="shared" si="50"/>
        <v/>
      </c>
      <c r="AA111" s="2"/>
    </row>
    <row r="112" ht="12.75" customHeight="1">
      <c r="A112" s="17"/>
      <c r="B112" s="18" t="s">
        <v>43</v>
      </c>
      <c r="C112" s="13">
        <f t="shared" si="45"/>
        <v>2</v>
      </c>
      <c r="D112" s="60">
        <v>2.0</v>
      </c>
      <c r="E112" s="64"/>
      <c r="F112" s="62" t="str">
        <f t="shared" si="46"/>
        <v/>
      </c>
      <c r="H112" s="18" t="s">
        <v>43</v>
      </c>
      <c r="I112" s="13">
        <f t="shared" si="47"/>
        <v>0</v>
      </c>
      <c r="J112" s="60">
        <v>3.0</v>
      </c>
      <c r="K112" s="61">
        <v>2.0</v>
      </c>
      <c r="L112" s="62">
        <f t="shared" si="48"/>
        <v>0</v>
      </c>
      <c r="N112" s="18" t="s">
        <v>43</v>
      </c>
      <c r="O112" s="13">
        <f t="shared" si="49"/>
        <v>0</v>
      </c>
      <c r="P112" s="60">
        <v>2.0</v>
      </c>
      <c r="Q112" s="61">
        <v>2.0</v>
      </c>
      <c r="R112" s="62">
        <f t="shared" si="50"/>
        <v>0</v>
      </c>
      <c r="AA112" s="2"/>
    </row>
    <row r="113" ht="12.75" customHeight="1">
      <c r="A113" s="17"/>
      <c r="B113" s="18" t="s">
        <v>44</v>
      </c>
      <c r="C113" s="13">
        <f t="shared" si="45"/>
        <v>2</v>
      </c>
      <c r="D113" s="60">
        <v>2.0</v>
      </c>
      <c r="E113" s="64"/>
      <c r="F113" s="62" t="str">
        <f t="shared" si="46"/>
        <v/>
      </c>
      <c r="H113" s="18" t="s">
        <v>44</v>
      </c>
      <c r="I113" s="13">
        <f t="shared" si="47"/>
        <v>0</v>
      </c>
      <c r="J113" s="60">
        <v>2.0</v>
      </c>
      <c r="K113" s="61">
        <v>3.0</v>
      </c>
      <c r="L113" s="62">
        <f t="shared" si="48"/>
        <v>0</v>
      </c>
      <c r="N113" s="18" t="s">
        <v>44</v>
      </c>
      <c r="O113" s="13">
        <f t="shared" si="49"/>
        <v>2</v>
      </c>
      <c r="P113" s="60">
        <v>2.0</v>
      </c>
      <c r="Q113" s="64"/>
      <c r="R113" s="62" t="str">
        <f t="shared" si="50"/>
        <v/>
      </c>
      <c r="AA113" s="2"/>
    </row>
    <row r="114" ht="12.75" customHeight="1">
      <c r="A114" s="17"/>
      <c r="B114" s="18" t="s">
        <v>45</v>
      </c>
      <c r="C114" s="13" t="str">
        <f t="shared" si="45"/>
        <v/>
      </c>
      <c r="D114" s="65"/>
      <c r="E114" s="61">
        <v>2.0</v>
      </c>
      <c r="F114" s="62">
        <f t="shared" si="46"/>
        <v>2</v>
      </c>
      <c r="H114" s="18" t="s">
        <v>45</v>
      </c>
      <c r="I114" s="13">
        <f t="shared" si="47"/>
        <v>3</v>
      </c>
      <c r="J114" s="60">
        <v>3.0</v>
      </c>
      <c r="K114" s="64"/>
      <c r="L114" s="62" t="str">
        <f t="shared" si="48"/>
        <v/>
      </c>
      <c r="N114" s="18" t="s">
        <v>45</v>
      </c>
      <c r="O114" s="13">
        <f t="shared" si="49"/>
        <v>0</v>
      </c>
      <c r="P114" s="60">
        <v>2.0</v>
      </c>
      <c r="Q114" s="61">
        <v>3.0</v>
      </c>
      <c r="R114" s="62">
        <f t="shared" si="50"/>
        <v>0</v>
      </c>
      <c r="AA114" s="2"/>
    </row>
    <row r="115" ht="12.75" customHeight="1">
      <c r="A115" s="17"/>
      <c r="B115" s="18" t="s">
        <v>46</v>
      </c>
      <c r="C115" s="13" t="str">
        <f t="shared" si="45"/>
        <v/>
      </c>
      <c r="D115" s="65"/>
      <c r="E115" s="61">
        <v>2.0</v>
      </c>
      <c r="F115" s="62">
        <f t="shared" si="46"/>
        <v>2</v>
      </c>
      <c r="H115" s="18" t="s">
        <v>46</v>
      </c>
      <c r="I115" s="13" t="str">
        <f t="shared" si="47"/>
        <v/>
      </c>
      <c r="J115" s="65"/>
      <c r="K115" s="64"/>
      <c r="L115" s="62" t="str">
        <f t="shared" si="48"/>
        <v/>
      </c>
      <c r="N115" s="18" t="s">
        <v>46</v>
      </c>
      <c r="O115" s="13">
        <f t="shared" si="49"/>
        <v>3</v>
      </c>
      <c r="P115" s="60">
        <v>3.0</v>
      </c>
      <c r="Q115" s="64"/>
      <c r="R115" s="62" t="str">
        <f t="shared" si="50"/>
        <v/>
      </c>
      <c r="AA115" s="2"/>
    </row>
    <row r="116" ht="12.75" customHeight="1">
      <c r="A116" s="17"/>
      <c r="B116" s="18" t="s">
        <v>47</v>
      </c>
      <c r="C116" s="13" t="str">
        <f t="shared" si="45"/>
        <v/>
      </c>
      <c r="D116" s="65"/>
      <c r="E116" s="64"/>
      <c r="F116" s="62" t="str">
        <f t="shared" si="46"/>
        <v/>
      </c>
      <c r="H116" s="18" t="s">
        <v>47</v>
      </c>
      <c r="I116" s="13" t="str">
        <f t="shared" si="47"/>
        <v/>
      </c>
      <c r="J116" s="65"/>
      <c r="K116" s="64"/>
      <c r="L116" s="62" t="str">
        <f t="shared" si="48"/>
        <v/>
      </c>
      <c r="N116" s="18" t="s">
        <v>47</v>
      </c>
      <c r="O116" s="13" t="str">
        <f t="shared" si="49"/>
        <v/>
      </c>
      <c r="P116" s="65"/>
      <c r="Q116" s="61">
        <v>2.0</v>
      </c>
      <c r="R116" s="62">
        <f t="shared" si="50"/>
        <v>2</v>
      </c>
      <c r="AA116" s="2"/>
    </row>
    <row r="117" ht="12.75" customHeight="1">
      <c r="A117" s="17"/>
      <c r="B117" s="18" t="s">
        <v>48</v>
      </c>
      <c r="C117" s="13" t="str">
        <f t="shared" si="45"/>
        <v/>
      </c>
      <c r="D117" s="65"/>
      <c r="E117" s="64"/>
      <c r="F117" s="62" t="str">
        <f t="shared" si="46"/>
        <v/>
      </c>
      <c r="H117" s="18" t="s">
        <v>48</v>
      </c>
      <c r="I117" s="13" t="str">
        <f t="shared" si="47"/>
        <v/>
      </c>
      <c r="J117" s="65"/>
      <c r="K117" s="64"/>
      <c r="L117" s="62" t="str">
        <f t="shared" si="48"/>
        <v/>
      </c>
      <c r="N117" s="18" t="s">
        <v>48</v>
      </c>
      <c r="O117" s="13">
        <f t="shared" si="49"/>
        <v>3</v>
      </c>
      <c r="P117" s="60">
        <v>3.0</v>
      </c>
      <c r="Q117" s="64"/>
      <c r="R117" s="62" t="str">
        <f t="shared" si="50"/>
        <v/>
      </c>
      <c r="AA117" s="2"/>
    </row>
    <row r="118" ht="12.75" customHeight="1">
      <c r="A118" s="17"/>
      <c r="B118" s="18" t="s">
        <v>49</v>
      </c>
      <c r="C118" s="13" t="str">
        <f t="shared" si="45"/>
        <v/>
      </c>
      <c r="D118" s="65"/>
      <c r="E118" s="64"/>
      <c r="F118" s="62" t="str">
        <f t="shared" si="46"/>
        <v/>
      </c>
      <c r="H118" s="18" t="s">
        <v>49</v>
      </c>
      <c r="I118" s="13" t="str">
        <f t="shared" si="47"/>
        <v/>
      </c>
      <c r="J118" s="65"/>
      <c r="K118" s="64"/>
      <c r="L118" s="62" t="str">
        <f t="shared" si="48"/>
        <v/>
      </c>
      <c r="N118" s="18" t="s">
        <v>49</v>
      </c>
      <c r="O118" s="13" t="str">
        <f t="shared" si="49"/>
        <v/>
      </c>
      <c r="P118" s="65"/>
      <c r="Q118" s="64"/>
      <c r="R118" s="62" t="str">
        <f t="shared" si="50"/>
        <v/>
      </c>
      <c r="AA118" s="2"/>
    </row>
    <row r="119" ht="12.75" customHeight="1">
      <c r="A119" s="17"/>
      <c r="B119" s="18" t="s">
        <v>50</v>
      </c>
      <c r="C119" s="13" t="str">
        <f t="shared" si="45"/>
        <v/>
      </c>
      <c r="D119" s="65"/>
      <c r="E119" s="64"/>
      <c r="F119" s="62" t="str">
        <f t="shared" si="46"/>
        <v/>
      </c>
      <c r="H119" s="18" t="s">
        <v>50</v>
      </c>
      <c r="I119" s="13" t="str">
        <f t="shared" si="47"/>
        <v/>
      </c>
      <c r="J119" s="66"/>
      <c r="K119" s="69"/>
      <c r="L119" s="62" t="str">
        <f t="shared" si="48"/>
        <v/>
      </c>
      <c r="N119" s="18" t="s">
        <v>50</v>
      </c>
      <c r="O119" s="13" t="str">
        <f t="shared" si="49"/>
        <v/>
      </c>
      <c r="P119" s="65"/>
      <c r="Q119" s="64"/>
      <c r="R119" s="62" t="str">
        <f t="shared" si="50"/>
        <v/>
      </c>
      <c r="AA119" s="2"/>
    </row>
    <row r="120" ht="12.75" customHeight="1">
      <c r="A120" s="17"/>
      <c r="B120" s="18" t="s">
        <v>51</v>
      </c>
      <c r="C120" s="13" t="str">
        <f t="shared" si="45"/>
        <v/>
      </c>
      <c r="D120" s="66"/>
      <c r="E120" s="69"/>
      <c r="F120" s="62" t="str">
        <f t="shared" si="46"/>
        <v/>
      </c>
      <c r="H120" s="18" t="s">
        <v>51</v>
      </c>
      <c r="I120" s="13" t="str">
        <f t="shared" si="47"/>
        <v/>
      </c>
      <c r="J120" s="66"/>
      <c r="K120" s="69"/>
      <c r="L120" s="62" t="str">
        <f t="shared" si="48"/>
        <v/>
      </c>
      <c r="N120" s="18" t="s">
        <v>51</v>
      </c>
      <c r="O120" s="13" t="str">
        <f t="shared" si="49"/>
        <v/>
      </c>
      <c r="P120" s="66"/>
      <c r="Q120" s="69"/>
      <c r="R120" s="62" t="str">
        <f t="shared" si="50"/>
        <v/>
      </c>
      <c r="AA120" s="2"/>
    </row>
    <row r="121" ht="12.75" customHeight="1">
      <c r="A121" s="17"/>
      <c r="B121" s="18" t="s">
        <v>52</v>
      </c>
      <c r="C121" s="33">
        <f>SUM(C106:C120)</f>
        <v>10</v>
      </c>
      <c r="D121" s="33">
        <f>COUNTIFS(D106:D120, "&lt;&gt;0", D106:D120, "&lt;&gt;", E106:E120, "&lt;&gt;0", E106:E120, "&lt;&gt;")</f>
        <v>2</v>
      </c>
      <c r="E121" s="33">
        <f>COUNTIFS(D106:D120, "&lt;&gt;0", D106:D120, "&lt;&gt;", E106:E120, "&lt;&gt;0", E106:E120, "&lt;&gt;")</f>
        <v>2</v>
      </c>
      <c r="F121" s="33">
        <f>SUM(F106:F120)</f>
        <v>6</v>
      </c>
      <c r="H121" s="18" t="s">
        <v>52</v>
      </c>
      <c r="I121" s="33">
        <f>SUM(I106:I120)</f>
        <v>7</v>
      </c>
      <c r="J121" s="33">
        <f>COUNTIFS(J106:J120, "&lt;&gt;0", J106:J120, "&lt;&gt;", K106:K120, "&lt;&gt;0", K106:K120, "&lt;&gt;")</f>
        <v>3</v>
      </c>
      <c r="K121" s="33">
        <f>COUNTIFS(J106:J120, "&lt;&gt;0", J106:J120, "&lt;&gt;", K106:K120, "&lt;&gt;0", K106:K120, "&lt;&gt;")</f>
        <v>3</v>
      </c>
      <c r="L121" s="33">
        <f>SUM(L106:L120)</f>
        <v>7</v>
      </c>
      <c r="N121" s="18" t="s">
        <v>52</v>
      </c>
      <c r="O121" s="33">
        <f>SUM(O106:O120)</f>
        <v>22</v>
      </c>
      <c r="P121" s="33">
        <f>COUNTIFS(P106:P120, "&lt;&gt;0", P106:P120, "&lt;&gt;", Q106:Q120, "&lt;&gt;0", Q106:Q120, "&lt;&gt;")</f>
        <v>2</v>
      </c>
      <c r="Q121" s="33">
        <f>COUNTIFS(P106:P120, "&lt;&gt;0", P106:P120, "&lt;&gt;", Q106:Q120, "&lt;&gt;0", Q106:Q120, "&lt;&gt;")</f>
        <v>2</v>
      </c>
      <c r="R121" s="33">
        <f>SUM(R106:R120)</f>
        <v>2</v>
      </c>
      <c r="AA121" s="2"/>
    </row>
    <row r="122" ht="12.75" customHeight="1">
      <c r="A122" s="17"/>
      <c r="B122" s="17" t="s">
        <v>53</v>
      </c>
      <c r="C122" s="70">
        <f>D122</f>
        <v>1</v>
      </c>
      <c r="D122" s="71">
        <f>IF(C121&gt;F121, 1, (IF(C121=F121, 0, -1)))</f>
        <v>1</v>
      </c>
      <c r="E122" s="33">
        <f>IF(F121&gt;C121, 1, (IF(F121=C121, 0, -1)))</f>
        <v>-1</v>
      </c>
      <c r="F122" s="70">
        <f>E122</f>
        <v>-1</v>
      </c>
      <c r="H122" s="17" t="s">
        <v>53</v>
      </c>
      <c r="I122" s="70">
        <f>J122</f>
        <v>0</v>
      </c>
      <c r="J122" s="71">
        <f>IF(I121&gt;L121, 1, (IF(I121=L121, 0, -1)))</f>
        <v>0</v>
      </c>
      <c r="K122" s="33">
        <f>IF(L121&gt;I121, 1, (IF(L121=I121, 0, -1)))</f>
        <v>0</v>
      </c>
      <c r="L122" s="70">
        <f>K122</f>
        <v>0</v>
      </c>
      <c r="N122" s="17" t="s">
        <v>53</v>
      </c>
      <c r="O122" s="70">
        <f>P122</f>
        <v>1</v>
      </c>
      <c r="P122" s="71">
        <f>IF(O121&gt;R121, 1, (IF(O121=R121, 0, -1)))</f>
        <v>1</v>
      </c>
      <c r="Q122" s="33">
        <f>IF(R121&gt;O121, 1, (IF(R121=O121, 0, -1)))</f>
        <v>-1</v>
      </c>
      <c r="R122" s="70">
        <f>Q122</f>
        <v>-1</v>
      </c>
      <c r="AA122" s="2"/>
    </row>
    <row r="123" ht="12.75" customHeight="1">
      <c r="A123" s="72"/>
      <c r="B123" s="72"/>
      <c r="AA123" s="2"/>
    </row>
    <row r="124" ht="12.75" customHeight="1">
      <c r="A124" s="72"/>
      <c r="B124" s="72"/>
      <c r="AA124" s="2"/>
    </row>
    <row r="125" ht="12.75" customHeight="1">
      <c r="AA125" s="2"/>
    </row>
    <row r="126" ht="12.75" customHeight="1">
      <c r="AA126" s="2"/>
    </row>
    <row r="127" ht="12.75" customHeight="1">
      <c r="AA127" s="2"/>
    </row>
    <row r="128" ht="12.75" customHeight="1">
      <c r="AA128" s="2"/>
    </row>
    <row r="129" ht="12.75" customHeight="1">
      <c r="AA129" s="2"/>
    </row>
    <row r="130" ht="12.75" customHeight="1">
      <c r="AA130" s="2"/>
    </row>
    <row r="131" ht="12.75" customHeight="1">
      <c r="AA131" s="2"/>
    </row>
    <row r="132" ht="12.75" customHeight="1">
      <c r="AA132" s="2"/>
    </row>
    <row r="133" ht="12.75" customHeight="1">
      <c r="AA133" s="2"/>
    </row>
    <row r="134" ht="12.75" customHeight="1">
      <c r="AA134" s="2"/>
    </row>
    <row r="135" ht="12.75" customHeight="1">
      <c r="AA135" s="2"/>
    </row>
    <row r="136" ht="12.75" customHeight="1">
      <c r="AA136" s="2"/>
    </row>
    <row r="137" ht="12.75" customHeight="1">
      <c r="AA137" s="2"/>
    </row>
    <row r="138" ht="12.75" customHeight="1">
      <c r="AA138" s="2"/>
    </row>
    <row r="139" ht="12.75" customHeight="1">
      <c r="AA139" s="2"/>
    </row>
    <row r="140" ht="12.75" customHeight="1">
      <c r="AA140" s="2"/>
    </row>
    <row r="141" ht="12.75" customHeight="1">
      <c r="AA141" s="2"/>
    </row>
    <row r="142" ht="12.75" customHeight="1">
      <c r="AA142" s="2"/>
    </row>
    <row r="143" ht="12.75" customHeight="1">
      <c r="AA143" s="2"/>
    </row>
    <row r="144" ht="12.75" customHeight="1">
      <c r="AA144" s="2"/>
    </row>
    <row r="145" ht="12.75" customHeight="1">
      <c r="AA145" s="2"/>
    </row>
    <row r="146" ht="12.75" customHeight="1">
      <c r="AA146" s="2"/>
    </row>
    <row r="147" ht="12.75" customHeight="1">
      <c r="AA147" s="2"/>
    </row>
    <row r="148" ht="12.75" customHeight="1">
      <c r="AA148" s="2"/>
    </row>
    <row r="149" ht="12.75" customHeight="1">
      <c r="AA149" s="2"/>
    </row>
    <row r="150" ht="12.75" customHeight="1">
      <c r="AA150" s="2"/>
    </row>
    <row r="151" ht="12.75" customHeight="1">
      <c r="AA151" s="2"/>
    </row>
    <row r="152" ht="12.75" customHeight="1">
      <c r="AA152" s="2"/>
    </row>
    <row r="153" ht="12.75" customHeight="1">
      <c r="AA153" s="2"/>
    </row>
    <row r="154" ht="12.75" customHeight="1">
      <c r="AA154" s="2"/>
    </row>
    <row r="155" ht="12.75" customHeight="1">
      <c r="AA155" s="2"/>
    </row>
    <row r="156" ht="12.75" customHeight="1">
      <c r="AA156" s="2"/>
    </row>
    <row r="157" ht="12.75" customHeight="1">
      <c r="AA157" s="2"/>
    </row>
    <row r="158" ht="12.75" customHeight="1">
      <c r="AA158" s="2"/>
    </row>
    <row r="159" ht="12.75" customHeight="1">
      <c r="AA159" s="2"/>
    </row>
    <row r="160" ht="12.75" customHeight="1">
      <c r="AA160" s="2"/>
    </row>
    <row r="161" ht="12.75" customHeight="1">
      <c r="AA161" s="2"/>
    </row>
    <row r="162" ht="12.75" customHeight="1">
      <c r="AA162" s="2"/>
    </row>
    <row r="163" ht="12.75" customHeight="1">
      <c r="A163" s="1"/>
      <c r="B163" s="1"/>
      <c r="AA163" s="2"/>
    </row>
    <row r="164" ht="12.75" customHeight="1">
      <c r="A164" s="1"/>
      <c r="B164" s="1"/>
      <c r="AA164" s="2"/>
    </row>
    <row r="165" ht="12.75" customHeight="1">
      <c r="A165" s="1"/>
      <c r="B165" s="1"/>
      <c r="AA165" s="2"/>
    </row>
    <row r="166" ht="12.75" customHeight="1">
      <c r="A166" s="1"/>
      <c r="B166" s="1"/>
      <c r="AA166" s="2"/>
    </row>
    <row r="167" ht="12.75" customHeight="1">
      <c r="A167" s="1"/>
      <c r="B167" s="1"/>
      <c r="AA167" s="2"/>
    </row>
    <row r="168" ht="12.75" customHeight="1">
      <c r="A168" s="1"/>
      <c r="B168" s="1"/>
      <c r="AA168" s="2"/>
    </row>
    <row r="169" ht="12.75" customHeight="1">
      <c r="A169" s="1"/>
      <c r="B169" s="1"/>
      <c r="AA169" s="2"/>
    </row>
    <row r="170" ht="12.75" customHeight="1">
      <c r="A170" s="1"/>
      <c r="B170" s="1"/>
      <c r="AA170" s="2"/>
    </row>
    <row r="171" ht="12.75" customHeight="1">
      <c r="A171" s="1"/>
      <c r="B171" s="1"/>
      <c r="AA171" s="2"/>
    </row>
    <row r="172" ht="12.75" customHeight="1">
      <c r="A172" s="1"/>
      <c r="B172" s="1"/>
      <c r="AA172" s="2"/>
    </row>
    <row r="173" ht="12.75" customHeight="1">
      <c r="A173" s="1"/>
      <c r="B173" s="1"/>
      <c r="AA173" s="2"/>
    </row>
    <row r="174" ht="12.75" customHeight="1">
      <c r="A174" s="1"/>
      <c r="B174" s="1"/>
      <c r="AA174" s="2"/>
    </row>
    <row r="175" ht="12.75" customHeight="1">
      <c r="A175" s="1"/>
      <c r="B175" s="1"/>
      <c r="AA175" s="2"/>
    </row>
    <row r="176" ht="12.75" customHeight="1">
      <c r="A176" s="1"/>
      <c r="B176" s="1"/>
      <c r="AA176" s="2"/>
    </row>
    <row r="177" ht="12.75" customHeight="1">
      <c r="A177" s="1"/>
      <c r="B177" s="1"/>
      <c r="AA177" s="2"/>
    </row>
    <row r="178" ht="12.75" customHeight="1">
      <c r="A178" s="1"/>
      <c r="B178" s="1"/>
      <c r="AA178" s="2"/>
    </row>
    <row r="179" ht="12.75" customHeight="1">
      <c r="A179" s="1"/>
      <c r="B179" s="1"/>
      <c r="AA179" s="2"/>
    </row>
    <row r="180" ht="12.75" customHeight="1">
      <c r="A180" s="1"/>
      <c r="B180" s="1"/>
      <c r="AA180" s="2"/>
    </row>
    <row r="181" ht="12.75" customHeight="1">
      <c r="A181" s="1"/>
      <c r="B181" s="1"/>
      <c r="AA181" s="2"/>
    </row>
    <row r="182" ht="12.75" customHeight="1">
      <c r="A182" s="1"/>
      <c r="B182" s="1"/>
      <c r="AA182" s="2"/>
    </row>
    <row r="183" ht="12.75" customHeight="1">
      <c r="A183" s="1"/>
      <c r="B183" s="1"/>
      <c r="L183" s="72"/>
      <c r="S183" s="72"/>
      <c r="T183" s="72"/>
      <c r="U183" s="81"/>
      <c r="V183" s="81"/>
      <c r="AA183" s="2"/>
    </row>
    <row r="184" ht="12.75" customHeight="1">
      <c r="A184" s="1"/>
      <c r="B184" s="1"/>
      <c r="L184" s="72"/>
      <c r="S184" s="72"/>
      <c r="T184" s="72"/>
      <c r="U184" s="81"/>
      <c r="V184" s="81"/>
      <c r="AA184" s="2"/>
    </row>
    <row r="185" ht="12.75" customHeight="1">
      <c r="A185" s="1"/>
      <c r="B185" s="1"/>
      <c r="L185" s="72"/>
      <c r="S185" s="72"/>
      <c r="T185" s="72"/>
      <c r="U185" s="81"/>
      <c r="V185" s="81"/>
      <c r="AA185" s="2"/>
    </row>
    <row r="186" ht="12.75" customHeight="1">
      <c r="A186" s="1"/>
      <c r="B186" s="1"/>
      <c r="L186" s="72"/>
      <c r="S186" s="72"/>
      <c r="T186" s="72"/>
      <c r="U186" s="81"/>
      <c r="V186" s="81"/>
      <c r="AA186" s="2"/>
    </row>
    <row r="187" ht="12.75" customHeight="1">
      <c r="A187" s="1"/>
      <c r="B187" s="1"/>
      <c r="L187" s="72"/>
      <c r="S187" s="72"/>
      <c r="T187" s="72"/>
      <c r="U187" s="81"/>
      <c r="V187" s="81"/>
      <c r="AA187" s="2"/>
    </row>
    <row r="188" ht="12.75" customHeight="1">
      <c r="A188" s="1"/>
      <c r="B188" s="1"/>
      <c r="L188" s="72"/>
      <c r="S188" s="72"/>
      <c r="T188" s="72"/>
      <c r="U188" s="81"/>
      <c r="V188" s="81"/>
      <c r="AA188" s="2"/>
    </row>
    <row r="189" ht="12.75" customHeight="1">
      <c r="A189" s="1"/>
      <c r="B189" s="1"/>
      <c r="L189" s="72"/>
      <c r="S189" s="72"/>
      <c r="T189" s="72"/>
      <c r="U189" s="81"/>
      <c r="V189" s="81"/>
      <c r="AA189" s="2"/>
    </row>
    <row r="190" ht="12.75" customHeight="1">
      <c r="A190" s="1"/>
      <c r="B190" s="1"/>
      <c r="L190" s="72"/>
      <c r="S190" s="72"/>
      <c r="T190" s="72"/>
      <c r="U190" s="81"/>
      <c r="V190" s="81"/>
      <c r="AA190" s="2"/>
    </row>
    <row r="191" ht="12.75" customHeight="1">
      <c r="A191" s="1"/>
      <c r="B191" s="1"/>
      <c r="L191" s="72"/>
      <c r="S191" s="72"/>
      <c r="T191" s="72"/>
      <c r="U191" s="81"/>
      <c r="V191" s="81"/>
      <c r="AA191" s="2"/>
    </row>
    <row r="192" ht="12.75" customHeight="1">
      <c r="A192" s="1"/>
      <c r="B192" s="1"/>
      <c r="L192" s="72"/>
      <c r="S192" s="72"/>
      <c r="T192" s="72"/>
      <c r="U192" s="81"/>
      <c r="V192" s="81"/>
      <c r="AA192" s="2"/>
    </row>
    <row r="193" ht="12.75" customHeight="1">
      <c r="A193" s="1"/>
      <c r="B193" s="1"/>
      <c r="L193" s="72"/>
      <c r="S193" s="72"/>
      <c r="T193" s="72"/>
      <c r="U193" s="81"/>
      <c r="V193" s="81"/>
      <c r="AA193" s="2"/>
    </row>
    <row r="194" ht="12.75" customHeight="1">
      <c r="A194" s="1"/>
      <c r="B194" s="1"/>
      <c r="L194" s="72"/>
      <c r="S194" s="72"/>
      <c r="T194" s="72"/>
      <c r="U194" s="81"/>
      <c r="V194" s="81"/>
      <c r="AA194" s="2"/>
    </row>
    <row r="195" ht="12.75" customHeight="1">
      <c r="A195" s="1"/>
      <c r="B195" s="1"/>
      <c r="L195" s="72"/>
      <c r="S195" s="72"/>
      <c r="T195" s="72"/>
      <c r="U195" s="81"/>
      <c r="V195" s="81"/>
      <c r="AA195" s="2"/>
    </row>
    <row r="196" ht="12.75" customHeight="1">
      <c r="A196" s="1"/>
      <c r="B196" s="1"/>
      <c r="L196" s="72"/>
      <c r="S196" s="72"/>
      <c r="T196" s="72"/>
      <c r="U196" s="81"/>
      <c r="V196" s="81"/>
      <c r="AA196" s="2"/>
    </row>
    <row r="197" ht="12.75" customHeight="1">
      <c r="A197" s="1"/>
      <c r="B197" s="1"/>
      <c r="L197" s="72"/>
      <c r="S197" s="72"/>
      <c r="T197" s="72"/>
      <c r="U197" s="81"/>
      <c r="V197" s="81"/>
      <c r="AA197" s="2"/>
    </row>
    <row r="198" ht="12.75" customHeight="1">
      <c r="A198" s="1"/>
      <c r="B198" s="1"/>
      <c r="L198" s="72"/>
      <c r="S198" s="72"/>
      <c r="T198" s="72"/>
      <c r="U198" s="81"/>
      <c r="V198" s="81"/>
      <c r="AA198" s="2"/>
    </row>
    <row r="199" ht="12.75" customHeight="1">
      <c r="A199" s="1"/>
      <c r="B199" s="1"/>
      <c r="L199" s="72"/>
      <c r="S199" s="72"/>
      <c r="T199" s="72"/>
      <c r="U199" s="81"/>
      <c r="V199" s="81"/>
      <c r="AA199" s="2"/>
    </row>
    <row r="200" ht="12.75" customHeight="1">
      <c r="A200" s="1"/>
      <c r="B200" s="1"/>
      <c r="L200" s="72"/>
      <c r="S200" s="72"/>
      <c r="T200" s="72"/>
      <c r="U200" s="81"/>
      <c r="V200" s="81"/>
      <c r="AA200" s="2"/>
    </row>
    <row r="201" ht="12.75" customHeight="1">
      <c r="A201" s="1"/>
      <c r="B201" s="1"/>
      <c r="L201" s="72"/>
      <c r="S201" s="72"/>
      <c r="T201" s="72"/>
      <c r="U201" s="81"/>
      <c r="V201" s="81"/>
      <c r="AA201" s="2"/>
    </row>
    <row r="202" ht="12.75" customHeight="1">
      <c r="A202" s="1"/>
      <c r="B202" s="1"/>
      <c r="L202" s="72"/>
      <c r="S202" s="72"/>
      <c r="T202" s="72"/>
      <c r="U202" s="81"/>
      <c r="V202" s="81"/>
      <c r="AA202" s="2"/>
    </row>
    <row r="203" ht="12.75" customHeight="1">
      <c r="A203" s="1"/>
      <c r="B203" s="1"/>
      <c r="L203" s="72"/>
      <c r="S203" s="72"/>
      <c r="T203" s="72"/>
      <c r="U203" s="81"/>
      <c r="V203" s="81"/>
      <c r="AA203" s="2"/>
    </row>
    <row r="204" ht="12.75" customHeight="1">
      <c r="A204" s="1"/>
      <c r="B204" s="1"/>
      <c r="L204" s="72"/>
      <c r="S204" s="72"/>
      <c r="T204" s="72"/>
      <c r="U204" s="81"/>
      <c r="V204" s="81"/>
      <c r="AA204" s="2"/>
    </row>
    <row r="205" ht="12.75" customHeight="1">
      <c r="A205" s="1"/>
      <c r="B205" s="1"/>
      <c r="L205" s="72"/>
      <c r="S205" s="72"/>
      <c r="T205" s="72"/>
      <c r="U205" s="81"/>
      <c r="V205" s="81"/>
      <c r="AA205" s="2"/>
    </row>
    <row r="206" ht="12.75" customHeight="1">
      <c r="A206" s="1"/>
      <c r="B206" s="1"/>
      <c r="L206" s="72"/>
      <c r="S206" s="72"/>
      <c r="T206" s="72"/>
      <c r="U206" s="81"/>
      <c r="V206" s="81"/>
      <c r="AA206" s="2"/>
    </row>
    <row r="207" ht="12.75" customHeight="1">
      <c r="A207" s="1"/>
      <c r="B207" s="1"/>
      <c r="L207" s="72"/>
      <c r="S207" s="72"/>
      <c r="T207" s="72"/>
      <c r="U207" s="81"/>
      <c r="V207" s="81"/>
      <c r="AA207" s="2"/>
    </row>
    <row r="208" ht="12.75" customHeight="1">
      <c r="A208" s="1"/>
      <c r="B208" s="1"/>
      <c r="L208" s="72"/>
      <c r="S208" s="72"/>
      <c r="T208" s="72"/>
      <c r="U208" s="81"/>
      <c r="V208" s="81"/>
      <c r="AA208" s="2"/>
    </row>
    <row r="209" ht="12.75" customHeight="1">
      <c r="A209" s="1"/>
      <c r="B209" s="1"/>
      <c r="L209" s="72"/>
      <c r="S209" s="72"/>
      <c r="T209" s="72"/>
      <c r="U209" s="81"/>
      <c r="V209" s="81"/>
      <c r="AA209" s="2"/>
    </row>
    <row r="210" ht="12.75" customHeight="1">
      <c r="A210" s="1"/>
      <c r="B210" s="1"/>
      <c r="L210" s="72"/>
      <c r="S210" s="72"/>
      <c r="T210" s="72"/>
      <c r="U210" s="81"/>
      <c r="V210" s="81"/>
      <c r="AA210" s="2"/>
    </row>
    <row r="211" ht="12.75" customHeight="1">
      <c r="A211" s="1"/>
      <c r="B211" s="1"/>
      <c r="L211" s="72"/>
      <c r="S211" s="72"/>
      <c r="T211" s="72"/>
      <c r="U211" s="81"/>
      <c r="V211" s="81"/>
      <c r="AA211" s="2"/>
    </row>
    <row r="212" ht="12.75" customHeight="1">
      <c r="A212" s="1"/>
      <c r="B212" s="1"/>
      <c r="L212" s="72"/>
      <c r="S212" s="72"/>
      <c r="T212" s="72"/>
      <c r="U212" s="81"/>
      <c r="V212" s="81"/>
      <c r="AA212" s="2"/>
    </row>
    <row r="213" ht="12.75" customHeight="1">
      <c r="A213" s="1"/>
      <c r="B213" s="1"/>
      <c r="L213" s="72"/>
      <c r="S213" s="72"/>
      <c r="T213" s="72"/>
      <c r="U213" s="81"/>
      <c r="V213" s="81"/>
      <c r="AA213" s="2"/>
    </row>
    <row r="214" ht="12.75" customHeight="1">
      <c r="A214" s="1"/>
      <c r="B214" s="1"/>
      <c r="L214" s="72"/>
      <c r="S214" s="72"/>
      <c r="T214" s="72"/>
      <c r="U214" s="81"/>
      <c r="V214" s="81"/>
      <c r="AA214" s="2"/>
    </row>
    <row r="215" ht="12.75" customHeight="1">
      <c r="A215" s="1"/>
      <c r="B215" s="1"/>
      <c r="L215" s="72"/>
      <c r="S215" s="72"/>
      <c r="T215" s="72"/>
      <c r="U215" s="81"/>
      <c r="V215" s="81"/>
      <c r="AA215" s="2"/>
    </row>
    <row r="216" ht="12.75" customHeight="1">
      <c r="A216" s="1"/>
      <c r="B216" s="1"/>
      <c r="L216" s="72"/>
      <c r="S216" s="72"/>
      <c r="T216" s="72"/>
      <c r="U216" s="81"/>
      <c r="V216" s="81"/>
      <c r="AA216" s="2"/>
    </row>
    <row r="217" ht="12.75" customHeight="1">
      <c r="A217" s="1"/>
      <c r="B217" s="1"/>
      <c r="L217" s="72"/>
      <c r="S217" s="72"/>
      <c r="T217" s="72"/>
      <c r="U217" s="81"/>
      <c r="V217" s="81"/>
      <c r="AA217" s="2"/>
    </row>
    <row r="218" ht="12.75" customHeight="1">
      <c r="A218" s="1"/>
      <c r="B218" s="1"/>
      <c r="L218" s="72"/>
      <c r="S218" s="72"/>
      <c r="T218" s="72"/>
      <c r="U218" s="81"/>
      <c r="V218" s="81"/>
      <c r="AA218" s="2"/>
    </row>
    <row r="219" ht="12.75" customHeight="1">
      <c r="A219" s="1"/>
      <c r="B219" s="1"/>
      <c r="L219" s="72"/>
      <c r="S219" s="72"/>
      <c r="T219" s="72"/>
      <c r="U219" s="81"/>
      <c r="V219" s="81"/>
      <c r="AA219" s="2"/>
    </row>
    <row r="220" ht="12.75" customHeight="1">
      <c r="A220" s="1"/>
      <c r="B220" s="1"/>
      <c r="L220" s="72"/>
      <c r="S220" s="72"/>
      <c r="T220" s="72"/>
      <c r="U220" s="81"/>
      <c r="V220" s="81"/>
      <c r="AA220" s="2"/>
    </row>
    <row r="221" ht="12.75" customHeight="1">
      <c r="A221" s="1"/>
      <c r="B221" s="1"/>
      <c r="L221" s="72"/>
      <c r="S221" s="72"/>
      <c r="T221" s="72"/>
      <c r="U221" s="81"/>
      <c r="V221" s="81"/>
      <c r="AA221" s="2"/>
    </row>
    <row r="222" ht="12.75" customHeight="1">
      <c r="A222" s="1"/>
      <c r="B222" s="1"/>
      <c r="L222" s="72"/>
      <c r="S222" s="72"/>
      <c r="T222" s="72"/>
      <c r="U222" s="81"/>
      <c r="V222" s="81"/>
      <c r="AA222" s="2"/>
    </row>
    <row r="223" ht="12.75" customHeight="1">
      <c r="A223" s="1"/>
      <c r="B223" s="1"/>
      <c r="L223" s="72"/>
      <c r="S223" s="72"/>
      <c r="T223" s="72"/>
      <c r="U223" s="81"/>
      <c r="V223" s="81"/>
      <c r="AA223" s="2"/>
    </row>
    <row r="224" ht="12.75" customHeight="1">
      <c r="A224" s="1"/>
      <c r="B224" s="1"/>
      <c r="L224" s="72"/>
      <c r="S224" s="72"/>
      <c r="T224" s="72"/>
      <c r="U224" s="81"/>
      <c r="V224" s="81"/>
      <c r="AA224" s="2"/>
    </row>
    <row r="225" ht="12.75" customHeight="1">
      <c r="A225" s="1"/>
      <c r="B225" s="1"/>
      <c r="L225" s="72"/>
      <c r="S225" s="72"/>
      <c r="T225" s="72"/>
      <c r="U225" s="81"/>
      <c r="V225" s="81"/>
      <c r="AA225" s="2"/>
    </row>
    <row r="226" ht="12.75" customHeight="1">
      <c r="A226" s="1"/>
      <c r="B226" s="1"/>
      <c r="L226" s="72"/>
      <c r="S226" s="72"/>
      <c r="T226" s="72"/>
      <c r="U226" s="81"/>
      <c r="V226" s="81"/>
      <c r="AA226" s="2"/>
    </row>
    <row r="227" ht="12.75" customHeight="1">
      <c r="A227" s="1"/>
      <c r="B227" s="1"/>
      <c r="L227" s="72"/>
      <c r="S227" s="72"/>
      <c r="T227" s="72"/>
      <c r="U227" s="81"/>
      <c r="V227" s="81"/>
      <c r="AA227" s="2"/>
    </row>
    <row r="228" ht="12.75" customHeight="1">
      <c r="A228" s="1"/>
      <c r="B228" s="1"/>
      <c r="L228" s="72"/>
      <c r="S228" s="72"/>
      <c r="T228" s="72"/>
      <c r="U228" s="81"/>
      <c r="V228" s="81"/>
      <c r="AA228" s="2"/>
    </row>
    <row r="229" ht="12.75" customHeight="1">
      <c r="A229" s="1"/>
      <c r="B229" s="1"/>
      <c r="L229" s="72"/>
      <c r="S229" s="72"/>
      <c r="T229" s="72"/>
      <c r="U229" s="81"/>
      <c r="V229" s="81"/>
      <c r="AA229" s="2"/>
    </row>
    <row r="230" ht="12.75" customHeight="1">
      <c r="A230" s="1"/>
      <c r="B230" s="1"/>
      <c r="L230" s="72"/>
      <c r="S230" s="72"/>
      <c r="T230" s="72"/>
      <c r="U230" s="81"/>
      <c r="V230" s="81"/>
      <c r="AA230" s="2"/>
    </row>
    <row r="231" ht="12.75" customHeight="1">
      <c r="A231" s="1"/>
      <c r="B231" s="1"/>
      <c r="L231" s="72"/>
      <c r="S231" s="72"/>
      <c r="T231" s="72"/>
      <c r="U231" s="81"/>
      <c r="V231" s="81"/>
      <c r="AA231" s="2"/>
    </row>
    <row r="232" ht="12.75" customHeight="1">
      <c r="A232" s="1"/>
      <c r="B232" s="1"/>
      <c r="L232" s="72"/>
      <c r="S232" s="72"/>
      <c r="T232" s="72"/>
      <c r="U232" s="81"/>
      <c r="V232" s="81"/>
      <c r="AA232" s="2"/>
    </row>
    <row r="233" ht="12.75" customHeight="1">
      <c r="A233" s="1"/>
      <c r="B233" s="1"/>
      <c r="L233" s="72"/>
      <c r="S233" s="72"/>
      <c r="T233" s="72"/>
      <c r="U233" s="81"/>
      <c r="V233" s="81"/>
      <c r="AA233" s="2"/>
    </row>
    <row r="234" ht="12.75" customHeight="1">
      <c r="A234" s="1"/>
      <c r="B234" s="1"/>
      <c r="L234" s="72"/>
      <c r="S234" s="72"/>
      <c r="T234" s="72"/>
      <c r="U234" s="81"/>
      <c r="V234" s="81"/>
      <c r="AA234" s="2"/>
    </row>
    <row r="235" ht="12.75" customHeight="1">
      <c r="A235" s="1"/>
      <c r="B235" s="1"/>
      <c r="L235" s="72"/>
      <c r="S235" s="72"/>
      <c r="T235" s="72"/>
      <c r="U235" s="81"/>
      <c r="V235" s="81"/>
      <c r="AA235" s="2"/>
    </row>
    <row r="236" ht="12.75" customHeight="1">
      <c r="A236" s="1"/>
      <c r="B236" s="1"/>
      <c r="L236" s="72"/>
      <c r="S236" s="72"/>
      <c r="T236" s="72"/>
      <c r="U236" s="81"/>
      <c r="V236" s="81"/>
      <c r="AA236" s="2"/>
    </row>
    <row r="237" ht="12.75" customHeight="1">
      <c r="A237" s="1"/>
      <c r="B237" s="1"/>
      <c r="L237" s="72"/>
      <c r="S237" s="72"/>
      <c r="T237" s="72"/>
      <c r="U237" s="81"/>
      <c r="V237" s="81"/>
      <c r="AA237" s="2"/>
    </row>
    <row r="238" ht="12.75" customHeight="1">
      <c r="A238" s="1"/>
      <c r="B238" s="1"/>
      <c r="L238" s="72"/>
      <c r="S238" s="72"/>
      <c r="T238" s="72"/>
      <c r="U238" s="81"/>
      <c r="V238" s="81"/>
      <c r="AA238" s="2"/>
    </row>
    <row r="239" ht="12.75" customHeight="1">
      <c r="A239" s="1"/>
      <c r="B239" s="1"/>
      <c r="L239" s="72"/>
      <c r="S239" s="72"/>
      <c r="T239" s="72"/>
      <c r="U239" s="81"/>
      <c r="V239" s="81"/>
      <c r="AA239" s="2"/>
    </row>
    <row r="240" ht="12.75" customHeight="1">
      <c r="A240" s="1"/>
      <c r="B240" s="1"/>
      <c r="L240" s="72"/>
      <c r="S240" s="72"/>
      <c r="T240" s="72"/>
      <c r="U240" s="81"/>
      <c r="V240" s="81"/>
      <c r="AA240" s="2"/>
    </row>
    <row r="241" ht="12.75" customHeight="1">
      <c r="A241" s="1"/>
      <c r="B241" s="1"/>
      <c r="L241" s="72"/>
      <c r="S241" s="72"/>
      <c r="T241" s="72"/>
      <c r="U241" s="81"/>
      <c r="V241" s="81"/>
      <c r="AA241" s="2"/>
    </row>
    <row r="242" ht="12.75" customHeight="1">
      <c r="A242" s="1"/>
      <c r="B242" s="1"/>
      <c r="L242" s="72"/>
      <c r="S242" s="72"/>
      <c r="T242" s="72"/>
      <c r="U242" s="81"/>
      <c r="V242" s="81"/>
      <c r="AA242" s="2"/>
    </row>
    <row r="243" ht="12.75" customHeight="1">
      <c r="A243" s="1"/>
      <c r="B243" s="1"/>
      <c r="L243" s="72"/>
      <c r="S243" s="72"/>
      <c r="T243" s="72"/>
      <c r="U243" s="81"/>
      <c r="V243" s="81"/>
      <c r="AA243" s="2"/>
    </row>
    <row r="244" ht="12.75" customHeight="1">
      <c r="A244" s="1"/>
      <c r="B244" s="1"/>
      <c r="L244" s="72"/>
      <c r="S244" s="72"/>
      <c r="T244" s="72"/>
      <c r="U244" s="81"/>
      <c r="V244" s="81"/>
      <c r="AA244" s="2"/>
    </row>
    <row r="245" ht="12.75" customHeight="1">
      <c r="A245" s="1"/>
      <c r="B245" s="1"/>
      <c r="L245" s="72"/>
      <c r="S245" s="72"/>
      <c r="T245" s="72"/>
      <c r="U245" s="81"/>
      <c r="V245" s="81"/>
      <c r="AA245" s="2"/>
    </row>
    <row r="246" ht="12.75" customHeight="1">
      <c r="A246" s="1"/>
      <c r="B246" s="1"/>
      <c r="L246" s="72"/>
      <c r="S246" s="72"/>
      <c r="T246" s="72"/>
      <c r="U246" s="81"/>
      <c r="V246" s="81"/>
      <c r="AA246" s="2"/>
    </row>
    <row r="247" ht="12.75" customHeight="1">
      <c r="A247" s="1"/>
      <c r="B247" s="1"/>
      <c r="L247" s="72"/>
      <c r="S247" s="72"/>
      <c r="T247" s="72"/>
      <c r="U247" s="81"/>
      <c r="V247" s="81"/>
      <c r="AA247" s="2"/>
    </row>
    <row r="248" ht="12.75" customHeight="1">
      <c r="A248" s="1"/>
      <c r="B248" s="1"/>
      <c r="L248" s="72"/>
      <c r="S248" s="72"/>
      <c r="T248" s="72"/>
      <c r="U248" s="81"/>
      <c r="V248" s="81"/>
      <c r="AA248" s="2"/>
    </row>
    <row r="249" ht="12.75" customHeight="1">
      <c r="A249" s="1"/>
      <c r="B249" s="1"/>
      <c r="L249" s="72"/>
      <c r="S249" s="72"/>
      <c r="T249" s="72"/>
      <c r="U249" s="81"/>
      <c r="V249" s="81"/>
      <c r="AA249" s="2"/>
    </row>
    <row r="250" ht="12.75" customHeight="1">
      <c r="A250" s="1"/>
      <c r="B250" s="1"/>
      <c r="L250" s="72"/>
      <c r="S250" s="72"/>
      <c r="T250" s="72"/>
      <c r="U250" s="81"/>
      <c r="V250" s="81"/>
      <c r="AA250" s="2"/>
    </row>
    <row r="251" ht="12.75" customHeight="1">
      <c r="A251" s="1"/>
      <c r="B251" s="1"/>
      <c r="L251" s="72"/>
      <c r="S251" s="72"/>
      <c r="T251" s="72"/>
      <c r="U251" s="81"/>
      <c r="V251" s="81"/>
      <c r="AA251" s="2"/>
    </row>
    <row r="252" ht="12.75" customHeight="1">
      <c r="A252" s="1"/>
      <c r="B252" s="1"/>
      <c r="L252" s="72"/>
      <c r="S252" s="72"/>
      <c r="T252" s="72"/>
      <c r="U252" s="81"/>
      <c r="V252" s="81"/>
      <c r="AA252" s="2"/>
    </row>
    <row r="253" ht="12.75" customHeight="1">
      <c r="A253" s="1"/>
      <c r="B253" s="1"/>
      <c r="L253" s="72"/>
      <c r="S253" s="72"/>
      <c r="T253" s="72"/>
      <c r="U253" s="81"/>
      <c r="V253" s="81"/>
      <c r="AA253" s="2"/>
    </row>
    <row r="254" ht="12.75" customHeight="1">
      <c r="A254" s="1"/>
      <c r="B254" s="1"/>
      <c r="L254" s="72"/>
      <c r="S254" s="72"/>
      <c r="T254" s="72"/>
      <c r="U254" s="81"/>
      <c r="V254" s="81"/>
      <c r="AA254" s="2"/>
    </row>
    <row r="255" ht="12.75" customHeight="1">
      <c r="A255" s="1"/>
      <c r="B255" s="1"/>
      <c r="L255" s="72"/>
      <c r="S255" s="72"/>
      <c r="T255" s="72"/>
      <c r="U255" s="81"/>
      <c r="V255" s="81"/>
      <c r="AA255" s="2"/>
    </row>
    <row r="256" ht="12.75" customHeight="1">
      <c r="A256" s="1"/>
      <c r="B256" s="1"/>
      <c r="L256" s="72"/>
      <c r="S256" s="72"/>
      <c r="T256" s="72"/>
      <c r="U256" s="81"/>
      <c r="V256" s="81"/>
      <c r="AA256" s="2"/>
    </row>
    <row r="257" ht="12.75" customHeight="1">
      <c r="A257" s="1"/>
      <c r="B257" s="1"/>
      <c r="L257" s="72"/>
      <c r="S257" s="72"/>
      <c r="T257" s="72"/>
      <c r="U257" s="81"/>
      <c r="V257" s="81"/>
      <c r="AA257" s="2"/>
    </row>
    <row r="258" ht="12.75" customHeight="1">
      <c r="A258" s="1"/>
      <c r="B258" s="1"/>
      <c r="L258" s="72"/>
      <c r="S258" s="72"/>
      <c r="T258" s="72"/>
      <c r="U258" s="81"/>
      <c r="V258" s="81"/>
      <c r="AA258" s="2"/>
    </row>
    <row r="259" ht="12.75" customHeight="1">
      <c r="A259" s="1"/>
      <c r="B259" s="1"/>
      <c r="L259" s="72"/>
      <c r="S259" s="72"/>
      <c r="T259" s="72"/>
      <c r="U259" s="81"/>
      <c r="V259" s="81"/>
      <c r="AA259" s="2"/>
    </row>
    <row r="260" ht="12.75" customHeight="1">
      <c r="A260" s="1"/>
      <c r="B260" s="1"/>
      <c r="L260" s="72"/>
      <c r="S260" s="72"/>
      <c r="T260" s="72"/>
      <c r="U260" s="81"/>
      <c r="V260" s="81"/>
      <c r="AA260" s="2"/>
    </row>
    <row r="261" ht="12.75" customHeight="1">
      <c r="A261" s="1"/>
      <c r="B261" s="1"/>
      <c r="L261" s="72"/>
      <c r="S261" s="72"/>
      <c r="T261" s="72"/>
      <c r="U261" s="81"/>
      <c r="V261" s="81"/>
      <c r="AA261" s="2"/>
    </row>
    <row r="262" ht="12.75" customHeight="1">
      <c r="A262" s="1"/>
      <c r="B262" s="1"/>
      <c r="L262" s="72"/>
      <c r="S262" s="72"/>
      <c r="T262" s="72"/>
      <c r="U262" s="81"/>
      <c r="V262" s="81"/>
      <c r="AA262" s="2"/>
    </row>
    <row r="263" ht="12.75" customHeight="1">
      <c r="A263" s="1"/>
      <c r="B263" s="1"/>
      <c r="L263" s="72"/>
      <c r="S263" s="72"/>
      <c r="T263" s="72"/>
      <c r="U263" s="81"/>
      <c r="V263" s="81"/>
      <c r="AA263" s="2"/>
    </row>
    <row r="264" ht="12.75" customHeight="1">
      <c r="A264" s="1"/>
      <c r="B264" s="1"/>
      <c r="L264" s="72"/>
      <c r="S264" s="72"/>
      <c r="T264" s="72"/>
      <c r="U264" s="81"/>
      <c r="V264" s="81"/>
      <c r="AA264" s="2"/>
    </row>
    <row r="265" ht="12.75" customHeight="1">
      <c r="A265" s="1"/>
      <c r="B265" s="1"/>
      <c r="L265" s="72"/>
      <c r="S265" s="72"/>
      <c r="T265" s="72"/>
      <c r="U265" s="81"/>
      <c r="V265" s="81"/>
      <c r="AA265" s="2"/>
    </row>
    <row r="266" ht="12.75" customHeight="1">
      <c r="A266" s="1"/>
      <c r="B266" s="1"/>
      <c r="L266" s="72"/>
      <c r="S266" s="72"/>
      <c r="T266" s="72"/>
      <c r="U266" s="81"/>
      <c r="V266" s="81"/>
      <c r="AA266" s="2"/>
    </row>
    <row r="267" ht="12.75" customHeight="1">
      <c r="A267" s="1"/>
      <c r="B267" s="1"/>
      <c r="L267" s="72"/>
      <c r="S267" s="72"/>
      <c r="T267" s="72"/>
      <c r="U267" s="81"/>
      <c r="V267" s="81"/>
      <c r="AA267" s="2"/>
    </row>
    <row r="268" ht="12.75" customHeight="1">
      <c r="A268" s="1"/>
      <c r="B268" s="1"/>
      <c r="L268" s="72"/>
      <c r="S268" s="72"/>
      <c r="T268" s="72"/>
      <c r="U268" s="81"/>
      <c r="V268" s="81"/>
      <c r="AA268" s="2"/>
    </row>
    <row r="269" ht="12.75" customHeight="1">
      <c r="A269" s="1"/>
      <c r="B269" s="1"/>
      <c r="L269" s="72"/>
      <c r="S269" s="72"/>
      <c r="T269" s="72"/>
      <c r="U269" s="81"/>
      <c r="V269" s="81"/>
      <c r="AA269" s="2"/>
    </row>
    <row r="270" ht="12.75" customHeight="1">
      <c r="A270" s="1"/>
      <c r="B270" s="1"/>
      <c r="L270" s="72"/>
      <c r="S270" s="72"/>
      <c r="T270" s="72"/>
      <c r="U270" s="81"/>
      <c r="V270" s="81"/>
      <c r="AA270" s="2"/>
    </row>
    <row r="271" ht="12.75" customHeight="1">
      <c r="A271" s="1"/>
      <c r="B271" s="1"/>
      <c r="L271" s="72"/>
      <c r="S271" s="72"/>
      <c r="T271" s="72"/>
      <c r="U271" s="81"/>
      <c r="V271" s="81"/>
      <c r="AA271" s="2"/>
    </row>
    <row r="272" ht="12.75" customHeight="1">
      <c r="A272" s="1"/>
      <c r="B272" s="1"/>
      <c r="L272" s="72"/>
      <c r="S272" s="72"/>
      <c r="T272" s="72"/>
      <c r="U272" s="81"/>
      <c r="V272" s="81"/>
      <c r="AA272" s="2"/>
    </row>
    <row r="273" ht="12.75" customHeight="1">
      <c r="A273" s="1"/>
      <c r="B273" s="1"/>
      <c r="L273" s="72"/>
      <c r="S273" s="72"/>
      <c r="T273" s="72"/>
      <c r="U273" s="81"/>
      <c r="V273" s="81"/>
      <c r="AA273" s="2"/>
    </row>
    <row r="274" ht="12.75" customHeight="1">
      <c r="A274" s="1"/>
      <c r="B274" s="1"/>
      <c r="L274" s="72"/>
      <c r="S274" s="72"/>
      <c r="T274" s="72"/>
      <c r="U274" s="81"/>
      <c r="V274" s="81"/>
      <c r="AA274" s="2"/>
    </row>
    <row r="275" ht="12.75" customHeight="1">
      <c r="A275" s="1"/>
      <c r="B275" s="1"/>
      <c r="L275" s="72"/>
      <c r="S275" s="72"/>
      <c r="T275" s="72"/>
      <c r="U275" s="81"/>
      <c r="V275" s="81"/>
      <c r="AA275" s="2"/>
    </row>
    <row r="276" ht="12.75" customHeight="1">
      <c r="A276" s="1"/>
      <c r="B276" s="1"/>
      <c r="L276" s="72"/>
      <c r="S276" s="72"/>
      <c r="T276" s="72"/>
      <c r="U276" s="81"/>
      <c r="V276" s="81"/>
      <c r="AA276" s="2"/>
    </row>
    <row r="277" ht="12.75" customHeight="1">
      <c r="A277" s="1"/>
      <c r="B277" s="1"/>
      <c r="L277" s="72"/>
      <c r="S277" s="72"/>
      <c r="T277" s="72"/>
      <c r="U277" s="81"/>
      <c r="V277" s="81"/>
      <c r="AA277" s="2"/>
    </row>
    <row r="278" ht="12.75" customHeight="1">
      <c r="A278" s="1"/>
      <c r="B278" s="1"/>
      <c r="L278" s="72"/>
      <c r="S278" s="72"/>
      <c r="T278" s="72"/>
      <c r="U278" s="81"/>
      <c r="V278" s="81"/>
      <c r="AA278" s="2"/>
    </row>
    <row r="279" ht="12.75" customHeight="1">
      <c r="A279" s="1"/>
      <c r="B279" s="1"/>
      <c r="L279" s="72"/>
      <c r="S279" s="72"/>
      <c r="T279" s="72"/>
      <c r="U279" s="81"/>
      <c r="V279" s="81"/>
      <c r="AA279" s="2"/>
    </row>
    <row r="280" ht="12.75" customHeight="1">
      <c r="A280" s="1"/>
      <c r="B280" s="1"/>
      <c r="L280" s="72"/>
      <c r="S280" s="72"/>
      <c r="T280" s="72"/>
      <c r="U280" s="81"/>
      <c r="V280" s="81"/>
      <c r="AA280" s="2"/>
    </row>
    <row r="281" ht="12.75" customHeight="1">
      <c r="A281" s="1"/>
      <c r="B281" s="1"/>
      <c r="L281" s="72"/>
      <c r="S281" s="72"/>
      <c r="T281" s="72"/>
      <c r="U281" s="81"/>
      <c r="V281" s="81"/>
      <c r="AA281" s="2"/>
    </row>
    <row r="282" ht="12.75" customHeight="1">
      <c r="A282" s="1"/>
      <c r="B282" s="1"/>
      <c r="L282" s="72"/>
      <c r="S282" s="72"/>
      <c r="T282" s="72"/>
      <c r="U282" s="81"/>
      <c r="V282" s="81"/>
      <c r="AA282" s="2"/>
    </row>
    <row r="283" ht="12.75" customHeight="1">
      <c r="A283" s="1"/>
      <c r="B283" s="1"/>
      <c r="L283" s="72"/>
      <c r="S283" s="72"/>
      <c r="T283" s="72"/>
      <c r="U283" s="81"/>
      <c r="V283" s="81"/>
      <c r="AA283" s="2"/>
    </row>
    <row r="284" ht="12.75" customHeight="1">
      <c r="A284" s="1"/>
      <c r="B284" s="1"/>
      <c r="L284" s="72"/>
      <c r="S284" s="72"/>
      <c r="T284" s="72"/>
      <c r="U284" s="81"/>
      <c r="V284" s="81"/>
      <c r="AA284" s="2"/>
    </row>
    <row r="285" ht="12.75" customHeight="1">
      <c r="A285" s="1"/>
      <c r="B285" s="1"/>
      <c r="L285" s="72"/>
      <c r="S285" s="72"/>
      <c r="T285" s="72"/>
      <c r="U285" s="81"/>
      <c r="V285" s="81"/>
      <c r="AA285" s="2"/>
    </row>
    <row r="286" ht="12.75" customHeight="1">
      <c r="A286" s="1"/>
      <c r="B286" s="1"/>
      <c r="L286" s="72"/>
      <c r="S286" s="72"/>
      <c r="T286" s="72"/>
      <c r="U286" s="81"/>
      <c r="V286" s="81"/>
      <c r="AA286" s="2"/>
    </row>
    <row r="287" ht="12.75" customHeight="1">
      <c r="A287" s="1"/>
      <c r="B287" s="1"/>
      <c r="L287" s="72"/>
      <c r="S287" s="72"/>
      <c r="T287" s="72"/>
      <c r="U287" s="81"/>
      <c r="V287" s="81"/>
      <c r="AA287" s="2"/>
    </row>
    <row r="288" ht="12.75" customHeight="1">
      <c r="A288" s="1"/>
      <c r="B288" s="1"/>
      <c r="L288" s="72"/>
      <c r="S288" s="72"/>
      <c r="T288" s="72"/>
      <c r="U288" s="81"/>
      <c r="V288" s="81"/>
      <c r="AA288" s="2"/>
    </row>
    <row r="289" ht="12.75" customHeight="1">
      <c r="A289" s="1"/>
      <c r="B289" s="1"/>
      <c r="L289" s="72"/>
      <c r="S289" s="72"/>
      <c r="T289" s="72"/>
      <c r="U289" s="81"/>
      <c r="V289" s="81"/>
      <c r="AA289" s="2"/>
    </row>
    <row r="290" ht="12.75" customHeight="1">
      <c r="A290" s="1"/>
      <c r="B290" s="1"/>
      <c r="L290" s="72"/>
      <c r="S290" s="72"/>
      <c r="T290" s="72"/>
      <c r="U290" s="81"/>
      <c r="V290" s="81"/>
      <c r="AA290" s="2"/>
    </row>
    <row r="291" ht="12.75" customHeight="1">
      <c r="A291" s="1"/>
      <c r="B291" s="1"/>
      <c r="L291" s="72"/>
      <c r="S291" s="72"/>
      <c r="T291" s="72"/>
      <c r="U291" s="81"/>
      <c r="V291" s="81"/>
      <c r="AA291" s="2"/>
    </row>
    <row r="292" ht="12.75" customHeight="1">
      <c r="A292" s="1"/>
      <c r="B292" s="1"/>
      <c r="L292" s="72"/>
      <c r="S292" s="72"/>
      <c r="T292" s="72"/>
      <c r="U292" s="81"/>
      <c r="V292" s="81"/>
      <c r="AA292" s="2"/>
    </row>
    <row r="293" ht="12.75" customHeight="1">
      <c r="A293" s="1"/>
      <c r="B293" s="1"/>
      <c r="L293" s="72"/>
      <c r="S293" s="72"/>
      <c r="T293" s="72"/>
      <c r="U293" s="81"/>
      <c r="V293" s="81"/>
      <c r="AA293" s="2"/>
    </row>
    <row r="294" ht="12.75" customHeight="1">
      <c r="A294" s="1"/>
      <c r="B294" s="1"/>
      <c r="L294" s="72"/>
      <c r="S294" s="72"/>
      <c r="T294" s="72"/>
      <c r="U294" s="81"/>
      <c r="V294" s="81"/>
      <c r="AA294" s="2"/>
    </row>
    <row r="295" ht="12.75" customHeight="1">
      <c r="A295" s="1"/>
      <c r="B295" s="1"/>
      <c r="L295" s="72"/>
      <c r="S295" s="72"/>
      <c r="T295" s="72"/>
      <c r="U295" s="81"/>
      <c r="V295" s="81"/>
      <c r="AA295" s="2"/>
    </row>
    <row r="296" ht="12.75" customHeight="1">
      <c r="A296" s="1"/>
      <c r="B296" s="1"/>
      <c r="L296" s="72"/>
      <c r="S296" s="72"/>
      <c r="T296" s="72"/>
      <c r="U296" s="81"/>
      <c r="V296" s="81"/>
      <c r="AA296" s="2"/>
    </row>
    <row r="297" ht="12.75" customHeight="1">
      <c r="A297" s="1"/>
      <c r="B297" s="1"/>
      <c r="L297" s="72"/>
      <c r="S297" s="72"/>
      <c r="T297" s="72"/>
      <c r="U297" s="81"/>
      <c r="V297" s="81"/>
      <c r="AA297" s="2"/>
    </row>
    <row r="298" ht="12.75" customHeight="1">
      <c r="A298" s="1"/>
      <c r="B298" s="1"/>
      <c r="L298" s="72"/>
      <c r="S298" s="72"/>
      <c r="T298" s="72"/>
      <c r="U298" s="81"/>
      <c r="V298" s="81"/>
      <c r="AA298" s="2"/>
    </row>
    <row r="299" ht="12.75" customHeight="1">
      <c r="A299" s="1"/>
      <c r="B299" s="1"/>
      <c r="L299" s="72"/>
      <c r="S299" s="72"/>
      <c r="T299" s="72"/>
      <c r="U299" s="81"/>
      <c r="V299" s="81"/>
      <c r="AA299" s="2"/>
    </row>
    <row r="300" ht="12.75" customHeight="1">
      <c r="A300" s="1"/>
      <c r="B300" s="1"/>
      <c r="L300" s="72"/>
      <c r="S300" s="72"/>
      <c r="T300" s="72"/>
      <c r="U300" s="81"/>
      <c r="V300" s="81"/>
      <c r="AA300" s="2"/>
    </row>
    <row r="301" ht="12.75" customHeight="1">
      <c r="A301" s="1"/>
      <c r="B301" s="1"/>
      <c r="L301" s="72"/>
      <c r="S301" s="72"/>
      <c r="T301" s="72"/>
      <c r="U301" s="81"/>
      <c r="V301" s="81"/>
      <c r="AA301" s="2"/>
    </row>
    <row r="302" ht="12.75" customHeight="1">
      <c r="A302" s="1"/>
      <c r="B302" s="1"/>
      <c r="L302" s="72"/>
      <c r="S302" s="72"/>
      <c r="T302" s="72"/>
      <c r="U302" s="81"/>
      <c r="V302" s="81"/>
      <c r="AA302" s="2"/>
    </row>
    <row r="303" ht="12.75" customHeight="1">
      <c r="A303" s="1"/>
      <c r="B303" s="1"/>
      <c r="L303" s="72"/>
      <c r="S303" s="72"/>
      <c r="T303" s="72"/>
      <c r="U303" s="81"/>
      <c r="V303" s="81"/>
      <c r="AA303" s="2"/>
    </row>
    <row r="304" ht="12.75" customHeight="1">
      <c r="A304" s="1"/>
      <c r="B304" s="1"/>
      <c r="L304" s="72"/>
      <c r="S304" s="72"/>
      <c r="T304" s="72"/>
      <c r="U304" s="81"/>
      <c r="V304" s="81"/>
      <c r="AA304" s="2"/>
    </row>
    <row r="305" ht="12.75" customHeight="1">
      <c r="A305" s="1"/>
      <c r="B305" s="1"/>
      <c r="L305" s="72"/>
      <c r="S305" s="72"/>
      <c r="T305" s="72"/>
      <c r="U305" s="81"/>
      <c r="V305" s="81"/>
      <c r="AA305" s="2"/>
    </row>
    <row r="306" ht="12.75" customHeight="1">
      <c r="A306" s="1"/>
      <c r="B306" s="1"/>
      <c r="L306" s="72"/>
      <c r="S306" s="72"/>
      <c r="T306" s="72"/>
      <c r="U306" s="81"/>
      <c r="V306" s="81"/>
      <c r="AA306" s="2"/>
    </row>
    <row r="307" ht="12.75" customHeight="1">
      <c r="A307" s="1"/>
      <c r="B307" s="1"/>
      <c r="L307" s="72"/>
      <c r="S307" s="72"/>
      <c r="T307" s="72"/>
      <c r="U307" s="81"/>
      <c r="V307" s="81"/>
      <c r="AA307" s="2"/>
    </row>
    <row r="308" ht="12.75" customHeight="1">
      <c r="A308" s="1"/>
      <c r="B308" s="1"/>
      <c r="L308" s="72"/>
      <c r="S308" s="72"/>
      <c r="T308" s="72"/>
      <c r="U308" s="81"/>
      <c r="V308" s="81"/>
      <c r="AA308" s="2"/>
    </row>
    <row r="309" ht="12.75" customHeight="1">
      <c r="A309" s="1"/>
      <c r="B309" s="1"/>
      <c r="L309" s="72"/>
      <c r="S309" s="72"/>
      <c r="T309" s="72"/>
      <c r="U309" s="81"/>
      <c r="V309" s="81"/>
      <c r="AA309" s="2"/>
    </row>
    <row r="310" ht="12.75" customHeight="1">
      <c r="A310" s="1"/>
      <c r="B310" s="1"/>
      <c r="L310" s="72"/>
      <c r="S310" s="72"/>
      <c r="T310" s="72"/>
      <c r="U310" s="81"/>
      <c r="V310" s="81"/>
      <c r="AA310" s="2"/>
    </row>
    <row r="311" ht="12.75" customHeight="1">
      <c r="A311" s="1"/>
      <c r="B311" s="1"/>
      <c r="L311" s="72"/>
      <c r="S311" s="72"/>
      <c r="T311" s="72"/>
      <c r="U311" s="81"/>
      <c r="V311" s="81"/>
      <c r="AA311" s="2"/>
    </row>
    <row r="312" ht="12.75" customHeight="1">
      <c r="A312" s="1"/>
      <c r="B312" s="1"/>
      <c r="L312" s="72"/>
      <c r="S312" s="72"/>
      <c r="T312" s="72"/>
      <c r="U312" s="81"/>
      <c r="V312" s="81"/>
      <c r="AA312" s="2"/>
    </row>
    <row r="313" ht="12.75" customHeight="1">
      <c r="A313" s="1"/>
      <c r="B313" s="1"/>
      <c r="L313" s="72"/>
      <c r="S313" s="72"/>
      <c r="T313" s="72"/>
      <c r="U313" s="81"/>
      <c r="V313" s="81"/>
      <c r="AA313" s="2"/>
    </row>
    <row r="314" ht="12.75" customHeight="1">
      <c r="A314" s="1"/>
      <c r="B314" s="1"/>
      <c r="L314" s="72"/>
      <c r="S314" s="72"/>
      <c r="T314" s="72"/>
      <c r="U314" s="81"/>
      <c r="V314" s="81"/>
      <c r="AA314" s="2"/>
    </row>
    <row r="315" ht="12.75" customHeight="1">
      <c r="A315" s="1"/>
      <c r="B315" s="1"/>
      <c r="L315" s="72"/>
      <c r="S315" s="72"/>
      <c r="T315" s="72"/>
      <c r="U315" s="81"/>
      <c r="V315" s="81"/>
      <c r="AA315" s="2"/>
    </row>
    <row r="316" ht="12.75" customHeight="1">
      <c r="A316" s="1"/>
      <c r="B316" s="1"/>
      <c r="L316" s="72"/>
      <c r="S316" s="72"/>
      <c r="T316" s="72"/>
      <c r="U316" s="81"/>
      <c r="V316" s="81"/>
      <c r="AA316" s="2"/>
    </row>
    <row r="317" ht="12.75" customHeight="1">
      <c r="A317" s="1"/>
      <c r="B317" s="1"/>
      <c r="L317" s="72"/>
      <c r="S317" s="72"/>
      <c r="T317" s="72"/>
      <c r="U317" s="81"/>
      <c r="V317" s="81"/>
      <c r="AA317" s="2"/>
    </row>
    <row r="318" ht="12.75" customHeight="1">
      <c r="A318" s="1"/>
      <c r="B318" s="1"/>
      <c r="L318" s="72"/>
      <c r="S318" s="72"/>
      <c r="T318" s="72"/>
      <c r="U318" s="81"/>
      <c r="V318" s="81"/>
      <c r="AA318" s="2"/>
    </row>
    <row r="319" ht="12.75" customHeight="1">
      <c r="A319" s="1"/>
      <c r="B319" s="1"/>
      <c r="L319" s="72"/>
      <c r="S319" s="72"/>
      <c r="T319" s="72"/>
      <c r="U319" s="81"/>
      <c r="V319" s="81"/>
      <c r="AA319" s="2"/>
    </row>
    <row r="320" ht="12.75" customHeight="1">
      <c r="A320" s="1"/>
      <c r="B320" s="1"/>
      <c r="L320" s="72"/>
      <c r="S320" s="72"/>
      <c r="T320" s="72"/>
      <c r="U320" s="81"/>
      <c r="V320" s="81"/>
      <c r="AA320" s="2"/>
    </row>
    <row r="321" ht="12.75" customHeight="1">
      <c r="A321" s="1"/>
      <c r="B321" s="1"/>
      <c r="L321" s="72"/>
      <c r="S321" s="72"/>
      <c r="T321" s="72"/>
      <c r="U321" s="81"/>
      <c r="V321" s="81"/>
      <c r="AA321" s="2"/>
    </row>
    <row r="322" ht="12.75" customHeight="1">
      <c r="A322" s="1"/>
      <c r="B322" s="1"/>
      <c r="L322" s="72"/>
      <c r="S322" s="72"/>
      <c r="T322" s="72"/>
      <c r="U322" s="81"/>
      <c r="V322" s="81"/>
      <c r="AA322" s="2"/>
    </row>
    <row r="323" ht="12.75" customHeight="1">
      <c r="A323" s="1"/>
      <c r="B323" s="1"/>
      <c r="L323" s="72"/>
      <c r="S323" s="72"/>
      <c r="T323" s="72"/>
      <c r="U323" s="81"/>
      <c r="V323" s="81"/>
      <c r="AA323" s="2"/>
    </row>
    <row r="324" ht="12.75" customHeight="1">
      <c r="A324" s="1"/>
      <c r="B324" s="1"/>
      <c r="L324" s="72"/>
      <c r="S324" s="72"/>
      <c r="T324" s="72"/>
      <c r="U324" s="81"/>
      <c r="V324" s="81"/>
      <c r="AA324" s="2"/>
    </row>
    <row r="325" ht="12.75" customHeight="1">
      <c r="A325" s="1"/>
      <c r="B325" s="1"/>
      <c r="L325" s="72"/>
      <c r="S325" s="72"/>
      <c r="T325" s="72"/>
      <c r="U325" s="81"/>
      <c r="V325" s="81"/>
      <c r="AA325" s="2"/>
    </row>
    <row r="326" ht="12.75" customHeight="1">
      <c r="A326" s="1"/>
      <c r="B326" s="1"/>
      <c r="L326" s="72"/>
      <c r="S326" s="72"/>
      <c r="T326" s="72"/>
      <c r="U326" s="81"/>
      <c r="V326" s="81"/>
      <c r="AA326" s="2"/>
    </row>
    <row r="327" ht="12.75" customHeight="1">
      <c r="A327" s="1"/>
      <c r="B327" s="1"/>
      <c r="L327" s="72"/>
      <c r="S327" s="72"/>
      <c r="T327" s="72"/>
      <c r="U327" s="81"/>
      <c r="V327" s="81"/>
      <c r="AA327" s="2"/>
    </row>
    <row r="328" ht="12.75" customHeight="1">
      <c r="A328" s="1"/>
      <c r="B328" s="1"/>
      <c r="L328" s="72"/>
      <c r="S328" s="72"/>
      <c r="T328" s="72"/>
      <c r="U328" s="81"/>
      <c r="V328" s="81"/>
      <c r="AA328" s="2"/>
    </row>
    <row r="329" ht="12.75" customHeight="1">
      <c r="A329" s="1"/>
      <c r="B329" s="1"/>
      <c r="L329" s="72"/>
      <c r="S329" s="72"/>
      <c r="T329" s="72"/>
      <c r="U329" s="81"/>
      <c r="V329" s="81"/>
      <c r="AA329" s="2"/>
    </row>
    <row r="330" ht="12.75" customHeight="1">
      <c r="A330" s="1"/>
      <c r="B330" s="1"/>
      <c r="L330" s="72"/>
      <c r="S330" s="72"/>
      <c r="T330" s="72"/>
      <c r="U330" s="81"/>
      <c r="V330" s="81"/>
      <c r="AA330" s="2"/>
    </row>
    <row r="331" ht="12.75" customHeight="1">
      <c r="A331" s="1"/>
      <c r="B331" s="1"/>
      <c r="L331" s="72"/>
      <c r="S331" s="72"/>
      <c r="T331" s="72"/>
      <c r="U331" s="81"/>
      <c r="V331" s="81"/>
      <c r="AA331" s="2"/>
    </row>
    <row r="332" ht="12.75" customHeight="1">
      <c r="A332" s="1"/>
      <c r="B332" s="1"/>
      <c r="L332" s="72"/>
      <c r="S332" s="72"/>
      <c r="T332" s="72"/>
      <c r="U332" s="81"/>
      <c r="V332" s="81"/>
      <c r="AA332" s="2"/>
    </row>
    <row r="333" ht="12.75" customHeight="1">
      <c r="A333" s="1"/>
      <c r="B333" s="1"/>
      <c r="L333" s="72"/>
      <c r="S333" s="72"/>
      <c r="T333" s="72"/>
      <c r="U333" s="81"/>
      <c r="V333" s="81"/>
      <c r="AA333" s="2"/>
    </row>
    <row r="334" ht="12.75" customHeight="1">
      <c r="A334" s="1"/>
      <c r="B334" s="1"/>
      <c r="L334" s="72"/>
      <c r="S334" s="72"/>
      <c r="T334" s="72"/>
      <c r="U334" s="81"/>
      <c r="V334" s="81"/>
      <c r="AA334" s="2"/>
    </row>
    <row r="335" ht="12.75" customHeight="1">
      <c r="A335" s="1"/>
      <c r="B335" s="1"/>
      <c r="L335" s="72"/>
      <c r="S335" s="72"/>
      <c r="T335" s="72"/>
      <c r="U335" s="81"/>
      <c r="V335" s="81"/>
      <c r="AA335" s="2"/>
    </row>
    <row r="336" ht="12.75" customHeight="1">
      <c r="A336" s="1"/>
      <c r="B336" s="1"/>
      <c r="L336" s="72"/>
      <c r="S336" s="72"/>
      <c r="T336" s="72"/>
      <c r="U336" s="81"/>
      <c r="V336" s="81"/>
      <c r="AA336" s="2"/>
    </row>
    <row r="337" ht="12.75" customHeight="1">
      <c r="A337" s="1"/>
      <c r="B337" s="1"/>
      <c r="L337" s="72"/>
      <c r="S337" s="72"/>
      <c r="T337" s="72"/>
      <c r="U337" s="81"/>
      <c r="V337" s="81"/>
      <c r="AA337" s="2"/>
    </row>
    <row r="338" ht="12.75" customHeight="1">
      <c r="A338" s="1"/>
      <c r="B338" s="1"/>
      <c r="L338" s="72"/>
      <c r="S338" s="72"/>
      <c r="T338" s="72"/>
      <c r="U338" s="81"/>
      <c r="V338" s="81"/>
      <c r="AA338" s="2"/>
    </row>
    <row r="339" ht="12.75" customHeight="1">
      <c r="A339" s="1"/>
      <c r="B339" s="1"/>
      <c r="L339" s="72"/>
      <c r="S339" s="72"/>
      <c r="T339" s="72"/>
      <c r="U339" s="81"/>
      <c r="V339" s="81"/>
      <c r="AA339" s="2"/>
    </row>
    <row r="340" ht="12.75" customHeight="1">
      <c r="A340" s="1"/>
      <c r="B340" s="1"/>
      <c r="L340" s="72"/>
      <c r="S340" s="72"/>
      <c r="T340" s="72"/>
      <c r="U340" s="81"/>
      <c r="V340" s="81"/>
      <c r="AA340" s="2"/>
    </row>
    <row r="341" ht="12.75" customHeight="1">
      <c r="A341" s="1"/>
      <c r="B341" s="1"/>
      <c r="L341" s="72"/>
      <c r="S341" s="72"/>
      <c r="T341" s="72"/>
      <c r="U341" s="81"/>
      <c r="V341" s="81"/>
      <c r="AA341" s="2"/>
    </row>
    <row r="342" ht="12.75" customHeight="1">
      <c r="A342" s="1"/>
      <c r="B342" s="1"/>
      <c r="L342" s="72"/>
      <c r="S342" s="72"/>
      <c r="T342" s="72"/>
      <c r="U342" s="81"/>
      <c r="V342" s="81"/>
      <c r="AA342" s="2"/>
    </row>
    <row r="343" ht="12.75" customHeight="1">
      <c r="A343" s="1"/>
      <c r="B343" s="1"/>
      <c r="L343" s="72"/>
      <c r="S343" s="72"/>
      <c r="T343" s="72"/>
      <c r="U343" s="81"/>
      <c r="V343" s="81"/>
      <c r="AA343" s="2"/>
    </row>
    <row r="344" ht="12.75" customHeight="1">
      <c r="A344" s="1"/>
      <c r="B344" s="1"/>
      <c r="L344" s="72"/>
      <c r="S344" s="72"/>
      <c r="T344" s="72"/>
      <c r="U344" s="81"/>
      <c r="V344" s="81"/>
      <c r="AA344" s="2"/>
    </row>
    <row r="345" ht="12.75" customHeight="1">
      <c r="A345" s="1"/>
      <c r="B345" s="1"/>
      <c r="L345" s="72"/>
      <c r="S345" s="72"/>
      <c r="T345" s="72"/>
      <c r="U345" s="81"/>
      <c r="V345" s="81"/>
      <c r="AA345" s="2"/>
    </row>
    <row r="346" ht="12.75" customHeight="1">
      <c r="A346" s="1"/>
      <c r="B346" s="1"/>
      <c r="L346" s="72"/>
      <c r="S346" s="72"/>
      <c r="T346" s="72"/>
      <c r="U346" s="81"/>
      <c r="V346" s="81"/>
      <c r="AA346" s="2"/>
    </row>
    <row r="347" ht="12.75" customHeight="1">
      <c r="A347" s="1"/>
      <c r="B347" s="1"/>
      <c r="L347" s="72"/>
      <c r="S347" s="72"/>
      <c r="T347" s="72"/>
      <c r="U347" s="81"/>
      <c r="V347" s="81"/>
      <c r="AA347" s="2"/>
    </row>
    <row r="348" ht="12.75" customHeight="1">
      <c r="A348" s="1"/>
      <c r="B348" s="1"/>
      <c r="L348" s="72"/>
      <c r="S348" s="72"/>
      <c r="T348" s="72"/>
      <c r="U348" s="81"/>
      <c r="V348" s="81"/>
      <c r="AA348" s="2"/>
    </row>
    <row r="349" ht="12.75" customHeight="1">
      <c r="A349" s="1"/>
      <c r="B349" s="1"/>
      <c r="L349" s="72"/>
      <c r="S349" s="72"/>
      <c r="T349" s="72"/>
      <c r="U349" s="81"/>
      <c r="V349" s="81"/>
      <c r="AA349" s="2"/>
    </row>
    <row r="350" ht="12.75" customHeight="1">
      <c r="A350" s="1"/>
      <c r="B350" s="1"/>
      <c r="L350" s="72"/>
      <c r="S350" s="72"/>
      <c r="T350" s="72"/>
      <c r="U350" s="81"/>
      <c r="V350" s="81"/>
      <c r="AA350" s="2"/>
    </row>
    <row r="351" ht="12.75" customHeight="1">
      <c r="A351" s="1"/>
      <c r="B351" s="1"/>
      <c r="L351" s="72"/>
      <c r="S351" s="72"/>
      <c r="T351" s="72"/>
      <c r="U351" s="81"/>
      <c r="V351" s="81"/>
      <c r="AA351" s="2"/>
    </row>
    <row r="352" ht="12.75" customHeight="1">
      <c r="A352" s="1"/>
      <c r="B352" s="1"/>
      <c r="L352" s="72"/>
      <c r="S352" s="72"/>
      <c r="T352" s="72"/>
      <c r="U352" s="81"/>
      <c r="V352" s="81"/>
      <c r="AA352" s="2"/>
    </row>
    <row r="353" ht="12.75" customHeight="1">
      <c r="A353" s="1"/>
      <c r="B353" s="1"/>
      <c r="L353" s="72"/>
      <c r="S353" s="72"/>
      <c r="T353" s="72"/>
      <c r="U353" s="81"/>
      <c r="V353" s="81"/>
      <c r="AA353" s="2"/>
    </row>
    <row r="354" ht="12.75" customHeight="1">
      <c r="A354" s="1"/>
      <c r="B354" s="1"/>
      <c r="L354" s="72"/>
      <c r="S354" s="72"/>
      <c r="T354" s="72"/>
      <c r="U354" s="81"/>
      <c r="V354" s="81"/>
      <c r="AA354" s="2"/>
    </row>
    <row r="355" ht="12.75" customHeight="1">
      <c r="A355" s="1"/>
      <c r="B355" s="1"/>
      <c r="L355" s="72"/>
      <c r="S355" s="72"/>
      <c r="T355" s="72"/>
      <c r="U355" s="81"/>
      <c r="V355" s="81"/>
      <c r="AA355" s="2"/>
    </row>
    <row r="356" ht="12.75" customHeight="1">
      <c r="A356" s="1"/>
      <c r="B356" s="1"/>
      <c r="L356" s="72"/>
      <c r="S356" s="72"/>
      <c r="T356" s="72"/>
      <c r="U356" s="81"/>
      <c r="V356" s="81"/>
      <c r="AA356" s="2"/>
    </row>
    <row r="357" ht="12.75" customHeight="1">
      <c r="A357" s="1"/>
      <c r="B357" s="1"/>
      <c r="L357" s="72"/>
      <c r="S357" s="72"/>
      <c r="T357" s="72"/>
      <c r="U357" s="81"/>
      <c r="V357" s="81"/>
      <c r="AA357" s="2"/>
    </row>
    <row r="358" ht="12.75" customHeight="1">
      <c r="A358" s="1"/>
      <c r="B358" s="1"/>
      <c r="L358" s="72"/>
      <c r="S358" s="72"/>
      <c r="T358" s="72"/>
      <c r="U358" s="81"/>
      <c r="V358" s="81"/>
      <c r="AA358" s="2"/>
    </row>
    <row r="359" ht="12.75" customHeight="1">
      <c r="A359" s="1"/>
      <c r="B359" s="1"/>
      <c r="L359" s="72"/>
      <c r="S359" s="72"/>
      <c r="T359" s="72"/>
      <c r="U359" s="81"/>
      <c r="V359" s="81"/>
      <c r="AA359" s="2"/>
    </row>
    <row r="360" ht="12.75" customHeight="1">
      <c r="A360" s="1"/>
      <c r="B360" s="1"/>
      <c r="L360" s="72"/>
      <c r="S360" s="72"/>
      <c r="T360" s="72"/>
      <c r="U360" s="81"/>
      <c r="V360" s="81"/>
      <c r="AA360" s="2"/>
    </row>
    <row r="361" ht="12.75" customHeight="1">
      <c r="A361" s="1"/>
      <c r="B361" s="1"/>
      <c r="L361" s="72"/>
      <c r="S361" s="72"/>
      <c r="T361" s="72"/>
      <c r="U361" s="81"/>
      <c r="V361" s="81"/>
      <c r="AA361" s="2"/>
    </row>
    <row r="362" ht="12.75" customHeight="1">
      <c r="A362" s="1"/>
      <c r="B362" s="1"/>
      <c r="L362" s="72"/>
      <c r="S362" s="72"/>
      <c r="T362" s="72"/>
      <c r="U362" s="81"/>
      <c r="V362" s="81"/>
      <c r="AA362" s="2"/>
    </row>
    <row r="363" ht="12.75" customHeight="1">
      <c r="A363" s="1"/>
      <c r="B363" s="1"/>
      <c r="L363" s="72"/>
      <c r="S363" s="72"/>
      <c r="T363" s="72"/>
      <c r="U363" s="81"/>
      <c r="V363" s="81"/>
      <c r="AA363" s="2"/>
    </row>
    <row r="364" ht="12.75" customHeight="1">
      <c r="A364" s="1"/>
      <c r="B364" s="1"/>
      <c r="L364" s="72"/>
      <c r="S364" s="72"/>
      <c r="T364" s="72"/>
      <c r="U364" s="81"/>
      <c r="V364" s="81"/>
      <c r="AA364" s="2"/>
    </row>
    <row r="365" ht="12.75" customHeight="1">
      <c r="A365" s="1"/>
      <c r="B365" s="1"/>
      <c r="L365" s="72"/>
      <c r="S365" s="72"/>
      <c r="T365" s="72"/>
      <c r="U365" s="81"/>
      <c r="V365" s="81"/>
      <c r="AA365" s="2"/>
    </row>
    <row r="366" ht="12.75" customHeight="1">
      <c r="A366" s="1"/>
      <c r="B366" s="1"/>
      <c r="L366" s="72"/>
      <c r="S366" s="72"/>
      <c r="T366" s="72"/>
      <c r="U366" s="81"/>
      <c r="V366" s="81"/>
      <c r="AA366" s="2"/>
    </row>
    <row r="367" ht="12.75" customHeight="1">
      <c r="A367" s="1"/>
      <c r="B367" s="1"/>
      <c r="L367" s="72"/>
      <c r="S367" s="72"/>
      <c r="T367" s="72"/>
      <c r="U367" s="81"/>
      <c r="V367" s="81"/>
      <c r="AA367" s="2"/>
    </row>
    <row r="368" ht="12.75" customHeight="1">
      <c r="A368" s="1"/>
      <c r="B368" s="1"/>
      <c r="L368" s="72"/>
      <c r="S368" s="72"/>
      <c r="T368" s="72"/>
      <c r="U368" s="81"/>
      <c r="V368" s="81"/>
      <c r="AA368" s="2"/>
    </row>
    <row r="369" ht="12.75" customHeight="1">
      <c r="A369" s="1"/>
      <c r="B369" s="1"/>
      <c r="L369" s="72"/>
      <c r="S369" s="72"/>
      <c r="T369" s="72"/>
      <c r="U369" s="81"/>
      <c r="V369" s="81"/>
      <c r="AA369" s="2"/>
    </row>
    <row r="370" ht="12.75" customHeight="1">
      <c r="A370" s="1"/>
      <c r="B370" s="1"/>
      <c r="L370" s="72"/>
      <c r="S370" s="72"/>
      <c r="T370" s="72"/>
      <c r="U370" s="81"/>
      <c r="V370" s="81"/>
      <c r="AA370" s="2"/>
    </row>
    <row r="371" ht="12.75" customHeight="1">
      <c r="A371" s="1"/>
      <c r="B371" s="1"/>
      <c r="L371" s="72"/>
      <c r="S371" s="72"/>
      <c r="T371" s="72"/>
      <c r="U371" s="81"/>
      <c r="V371" s="81"/>
      <c r="AA371" s="2"/>
    </row>
    <row r="372" ht="12.75" customHeight="1">
      <c r="A372" s="1"/>
      <c r="B372" s="1"/>
      <c r="L372" s="72"/>
      <c r="S372" s="72"/>
      <c r="T372" s="72"/>
      <c r="U372" s="81"/>
      <c r="V372" s="81"/>
      <c r="AA372" s="2"/>
    </row>
    <row r="373" ht="12.75" customHeight="1">
      <c r="A373" s="1"/>
      <c r="B373" s="1"/>
      <c r="L373" s="72"/>
      <c r="S373" s="72"/>
      <c r="T373" s="72"/>
      <c r="U373" s="81"/>
      <c r="V373" s="81"/>
      <c r="AA373" s="2"/>
    </row>
    <row r="374" ht="12.75" customHeight="1">
      <c r="A374" s="1"/>
      <c r="B374" s="1"/>
      <c r="L374" s="72"/>
      <c r="S374" s="72"/>
      <c r="T374" s="72"/>
      <c r="U374" s="81"/>
      <c r="V374" s="81"/>
      <c r="AA374" s="2"/>
    </row>
    <row r="375" ht="12.75" customHeight="1">
      <c r="A375" s="1"/>
      <c r="B375" s="1"/>
      <c r="L375" s="72"/>
      <c r="S375" s="72"/>
      <c r="T375" s="72"/>
      <c r="U375" s="81"/>
      <c r="V375" s="81"/>
      <c r="AA375" s="2"/>
    </row>
    <row r="376" ht="12.75" customHeight="1">
      <c r="A376" s="1"/>
      <c r="B376" s="1"/>
      <c r="L376" s="72"/>
      <c r="S376" s="72"/>
      <c r="T376" s="72"/>
      <c r="U376" s="81"/>
      <c r="V376" s="81"/>
      <c r="AA376" s="2"/>
    </row>
    <row r="377" ht="12.75" customHeight="1">
      <c r="A377" s="1"/>
      <c r="B377" s="1"/>
      <c r="L377" s="72"/>
      <c r="S377" s="72"/>
      <c r="T377" s="72"/>
      <c r="U377" s="81"/>
      <c r="V377" s="81"/>
      <c r="AA377" s="2"/>
    </row>
    <row r="378" ht="12.75" customHeight="1">
      <c r="A378" s="1"/>
      <c r="B378" s="1"/>
      <c r="L378" s="72"/>
      <c r="S378" s="72"/>
      <c r="T378" s="72"/>
      <c r="U378" s="81"/>
      <c r="V378" s="81"/>
      <c r="AA378" s="2"/>
    </row>
    <row r="379" ht="12.75" customHeight="1">
      <c r="A379" s="1"/>
      <c r="B379" s="1"/>
      <c r="L379" s="72"/>
      <c r="S379" s="72"/>
      <c r="T379" s="72"/>
      <c r="U379" s="81"/>
      <c r="V379" s="81"/>
      <c r="AA379" s="2"/>
    </row>
    <row r="380" ht="12.75" customHeight="1">
      <c r="A380" s="1"/>
      <c r="B380" s="1"/>
      <c r="L380" s="72"/>
      <c r="S380" s="72"/>
      <c r="T380" s="72"/>
      <c r="U380" s="81"/>
      <c r="V380" s="81"/>
      <c r="AA380" s="2"/>
    </row>
    <row r="381" ht="12.75" customHeight="1">
      <c r="A381" s="1"/>
      <c r="B381" s="1"/>
      <c r="L381" s="72"/>
      <c r="S381" s="72"/>
      <c r="T381" s="72"/>
      <c r="U381" s="81"/>
      <c r="V381" s="81"/>
      <c r="AA381" s="2"/>
    </row>
    <row r="382" ht="12.75" customHeight="1">
      <c r="A382" s="1"/>
      <c r="B382" s="1"/>
      <c r="L382" s="72"/>
      <c r="S382" s="72"/>
      <c r="T382" s="72"/>
      <c r="U382" s="81"/>
      <c r="V382" s="81"/>
      <c r="AA382" s="2"/>
    </row>
    <row r="383" ht="12.75" customHeight="1">
      <c r="A383" s="1"/>
      <c r="B383" s="1"/>
      <c r="L383" s="72"/>
      <c r="S383" s="72"/>
      <c r="T383" s="72"/>
      <c r="U383" s="81"/>
      <c r="V383" s="81"/>
      <c r="AA383" s="2"/>
    </row>
    <row r="384" ht="12.75" customHeight="1">
      <c r="A384" s="1"/>
      <c r="B384" s="1"/>
      <c r="L384" s="72"/>
      <c r="S384" s="72"/>
      <c r="T384" s="72"/>
      <c r="U384" s="81"/>
      <c r="V384" s="81"/>
      <c r="AA384" s="2"/>
    </row>
    <row r="385" ht="12.75" customHeight="1">
      <c r="A385" s="1"/>
      <c r="B385" s="1"/>
      <c r="L385" s="72"/>
      <c r="S385" s="72"/>
      <c r="T385" s="72"/>
      <c r="U385" s="81"/>
      <c r="V385" s="81"/>
      <c r="AA385" s="2"/>
    </row>
    <row r="386" ht="12.75" customHeight="1">
      <c r="A386" s="1"/>
      <c r="B386" s="1"/>
      <c r="L386" s="72"/>
      <c r="S386" s="72"/>
      <c r="T386" s="72"/>
      <c r="U386" s="81"/>
      <c r="V386" s="81"/>
      <c r="AA386" s="2"/>
    </row>
    <row r="387" ht="12.75" customHeight="1">
      <c r="A387" s="1"/>
      <c r="B387" s="1"/>
      <c r="L387" s="72"/>
      <c r="S387" s="72"/>
      <c r="T387" s="72"/>
      <c r="U387" s="81"/>
      <c r="V387" s="81"/>
      <c r="AA387" s="2"/>
    </row>
    <row r="388" ht="12.75" customHeight="1">
      <c r="A388" s="1"/>
      <c r="B388" s="1"/>
      <c r="L388" s="72"/>
      <c r="S388" s="72"/>
      <c r="T388" s="72"/>
      <c r="U388" s="81"/>
      <c r="V388" s="81"/>
      <c r="AA388" s="2"/>
    </row>
    <row r="389" ht="12.75" customHeight="1">
      <c r="A389" s="1"/>
      <c r="B389" s="1"/>
      <c r="L389" s="72"/>
      <c r="S389" s="72"/>
      <c r="T389" s="72"/>
      <c r="U389" s="81"/>
      <c r="V389" s="81"/>
      <c r="AA389" s="2"/>
    </row>
    <row r="390" ht="12.75" customHeight="1">
      <c r="A390" s="1"/>
      <c r="B390" s="1"/>
      <c r="L390" s="72"/>
      <c r="S390" s="72"/>
      <c r="T390" s="72"/>
      <c r="U390" s="81"/>
      <c r="V390" s="81"/>
      <c r="AA390" s="2"/>
    </row>
    <row r="391" ht="12.75" customHeight="1">
      <c r="A391" s="1"/>
      <c r="B391" s="1"/>
      <c r="L391" s="72"/>
      <c r="S391" s="72"/>
      <c r="T391" s="72"/>
      <c r="U391" s="81"/>
      <c r="V391" s="81"/>
      <c r="AA391" s="2"/>
    </row>
    <row r="392" ht="12.75" customHeight="1">
      <c r="A392" s="1"/>
      <c r="B392" s="1"/>
      <c r="L392" s="72"/>
      <c r="S392" s="72"/>
      <c r="T392" s="72"/>
      <c r="U392" s="81"/>
      <c r="V392" s="81"/>
      <c r="AA392" s="2"/>
    </row>
    <row r="393" ht="12.75" customHeight="1">
      <c r="A393" s="1"/>
      <c r="B393" s="1"/>
      <c r="L393" s="72"/>
      <c r="S393" s="72"/>
      <c r="T393" s="72"/>
      <c r="U393" s="81"/>
      <c r="V393" s="81"/>
      <c r="AA393" s="2"/>
    </row>
    <row r="394" ht="12.75" customHeight="1">
      <c r="A394" s="1"/>
      <c r="B394" s="1"/>
      <c r="L394" s="72"/>
      <c r="S394" s="72"/>
      <c r="T394" s="72"/>
      <c r="U394" s="81"/>
      <c r="V394" s="81"/>
      <c r="AA394" s="2"/>
    </row>
    <row r="395" ht="12.75" customHeight="1">
      <c r="A395" s="1"/>
      <c r="B395" s="1"/>
      <c r="L395" s="72"/>
      <c r="S395" s="72"/>
      <c r="T395" s="72"/>
      <c r="U395" s="81"/>
      <c r="V395" s="81"/>
      <c r="AA395" s="2"/>
    </row>
    <row r="396" ht="12.75" customHeight="1">
      <c r="A396" s="1"/>
      <c r="B396" s="1"/>
      <c r="L396" s="72"/>
      <c r="S396" s="72"/>
      <c r="T396" s="72"/>
      <c r="U396" s="81"/>
      <c r="V396" s="81"/>
      <c r="AA396" s="2"/>
    </row>
    <row r="397" ht="12.75" customHeight="1">
      <c r="A397" s="1"/>
      <c r="B397" s="1"/>
      <c r="L397" s="72"/>
      <c r="S397" s="72"/>
      <c r="T397" s="72"/>
      <c r="U397" s="81"/>
      <c r="V397" s="81"/>
      <c r="AA397" s="2"/>
    </row>
    <row r="398" ht="12.75" customHeight="1">
      <c r="A398" s="1"/>
      <c r="B398" s="1"/>
      <c r="L398" s="72"/>
      <c r="S398" s="72"/>
      <c r="T398" s="72"/>
      <c r="U398" s="81"/>
      <c r="V398" s="81"/>
      <c r="AA398" s="2"/>
    </row>
    <row r="399" ht="12.75" customHeight="1">
      <c r="A399" s="1"/>
      <c r="B399" s="1"/>
      <c r="L399" s="72"/>
      <c r="S399" s="72"/>
      <c r="T399" s="72"/>
      <c r="U399" s="81"/>
      <c r="V399" s="81"/>
      <c r="AA399" s="2"/>
    </row>
    <row r="400" ht="12.75" customHeight="1">
      <c r="A400" s="1"/>
      <c r="B400" s="1"/>
      <c r="L400" s="72"/>
      <c r="S400" s="72"/>
      <c r="T400" s="72"/>
      <c r="U400" s="81"/>
      <c r="V400" s="81"/>
      <c r="AA400" s="2"/>
    </row>
    <row r="401" ht="12.75" customHeight="1">
      <c r="A401" s="1"/>
      <c r="B401" s="1"/>
      <c r="L401" s="72"/>
      <c r="S401" s="72"/>
      <c r="T401" s="72"/>
      <c r="U401" s="81"/>
      <c r="V401" s="81"/>
      <c r="AA401" s="2"/>
    </row>
    <row r="402" ht="12.75" customHeight="1">
      <c r="A402" s="1"/>
      <c r="B402" s="1"/>
      <c r="L402" s="72"/>
      <c r="S402" s="72"/>
      <c r="T402" s="72"/>
      <c r="U402" s="81"/>
      <c r="V402" s="81"/>
      <c r="AA402" s="2"/>
    </row>
    <row r="403" ht="12.75" customHeight="1">
      <c r="A403" s="1"/>
      <c r="B403" s="1"/>
      <c r="L403" s="72"/>
      <c r="S403" s="72"/>
      <c r="T403" s="72"/>
      <c r="U403" s="81"/>
      <c r="V403" s="81"/>
      <c r="AA403" s="2"/>
    </row>
    <row r="404" ht="12.75" customHeight="1">
      <c r="A404" s="1"/>
      <c r="B404" s="1"/>
      <c r="L404" s="72"/>
      <c r="S404" s="72"/>
      <c r="T404" s="72"/>
      <c r="U404" s="81"/>
      <c r="V404" s="81"/>
      <c r="AA404" s="2"/>
    </row>
    <row r="405" ht="12.75" customHeight="1">
      <c r="A405" s="1"/>
      <c r="B405" s="1"/>
      <c r="L405" s="72"/>
      <c r="S405" s="72"/>
      <c r="T405" s="72"/>
      <c r="U405" s="81"/>
      <c r="V405" s="81"/>
      <c r="AA405" s="2"/>
    </row>
    <row r="406" ht="12.75" customHeight="1">
      <c r="A406" s="1"/>
      <c r="B406" s="1"/>
      <c r="L406" s="72"/>
      <c r="S406" s="72"/>
      <c r="T406" s="72"/>
      <c r="U406" s="81"/>
      <c r="V406" s="81"/>
      <c r="AA406" s="2"/>
    </row>
    <row r="407" ht="12.75" customHeight="1">
      <c r="A407" s="1"/>
      <c r="B407" s="1"/>
      <c r="L407" s="72"/>
      <c r="S407" s="72"/>
      <c r="T407" s="72"/>
      <c r="U407" s="81"/>
      <c r="V407" s="81"/>
      <c r="AA407" s="2"/>
    </row>
    <row r="408" ht="12.75" customHeight="1">
      <c r="A408" s="1"/>
      <c r="B408" s="1"/>
      <c r="L408" s="72"/>
      <c r="S408" s="72"/>
      <c r="T408" s="72"/>
      <c r="U408" s="81"/>
      <c r="V408" s="81"/>
      <c r="AA408" s="2"/>
    </row>
    <row r="409" ht="12.75" customHeight="1">
      <c r="A409" s="1"/>
      <c r="B409" s="1"/>
      <c r="L409" s="72"/>
      <c r="S409" s="72"/>
      <c r="T409" s="72"/>
      <c r="U409" s="81"/>
      <c r="V409" s="81"/>
      <c r="AA409" s="2"/>
    </row>
    <row r="410" ht="12.75" customHeight="1">
      <c r="A410" s="1"/>
      <c r="B410" s="1"/>
      <c r="L410" s="72"/>
      <c r="S410" s="72"/>
      <c r="T410" s="72"/>
      <c r="U410" s="81"/>
      <c r="V410" s="81"/>
      <c r="AA410" s="2"/>
    </row>
    <row r="411" ht="12.75" customHeight="1">
      <c r="A411" s="1"/>
      <c r="B411" s="1"/>
      <c r="L411" s="72"/>
      <c r="S411" s="72"/>
      <c r="T411" s="72"/>
      <c r="U411" s="81"/>
      <c r="V411" s="81"/>
      <c r="AA411" s="2"/>
    </row>
    <row r="412" ht="12.75" customHeight="1">
      <c r="A412" s="1"/>
      <c r="B412" s="1"/>
      <c r="L412" s="72"/>
      <c r="S412" s="72"/>
      <c r="T412" s="72"/>
      <c r="U412" s="81"/>
      <c r="V412" s="81"/>
      <c r="AA412" s="2"/>
    </row>
    <row r="413" ht="12.75" customHeight="1">
      <c r="A413" s="1"/>
      <c r="B413" s="1"/>
      <c r="L413" s="72"/>
      <c r="S413" s="72"/>
      <c r="T413" s="72"/>
      <c r="U413" s="81"/>
      <c r="V413" s="81"/>
      <c r="AA413" s="2"/>
    </row>
    <row r="414" ht="12.75" customHeight="1">
      <c r="A414" s="1"/>
      <c r="B414" s="1"/>
      <c r="L414" s="72"/>
      <c r="S414" s="72"/>
      <c r="T414" s="72"/>
      <c r="U414" s="81"/>
      <c r="V414" s="81"/>
      <c r="AA414" s="2"/>
    </row>
    <row r="415" ht="12.75" customHeight="1">
      <c r="A415" s="1"/>
      <c r="B415" s="1"/>
      <c r="L415" s="72"/>
      <c r="S415" s="72"/>
      <c r="T415" s="72"/>
      <c r="U415" s="81"/>
      <c r="V415" s="81"/>
      <c r="AA415" s="2"/>
    </row>
    <row r="416" ht="12.75" customHeight="1">
      <c r="A416" s="1"/>
      <c r="B416" s="1"/>
      <c r="L416" s="72"/>
      <c r="S416" s="72"/>
      <c r="T416" s="72"/>
      <c r="U416" s="81"/>
      <c r="V416" s="81"/>
      <c r="AA416" s="2"/>
    </row>
    <row r="417" ht="12.75" customHeight="1">
      <c r="A417" s="1"/>
      <c r="B417" s="1"/>
      <c r="L417" s="72"/>
      <c r="S417" s="72"/>
      <c r="T417" s="72"/>
      <c r="U417" s="81"/>
      <c r="V417" s="81"/>
      <c r="AA417" s="2"/>
    </row>
    <row r="418" ht="12.75" customHeight="1">
      <c r="A418" s="1"/>
      <c r="B418" s="1"/>
      <c r="L418" s="72"/>
      <c r="S418" s="72"/>
      <c r="T418" s="72"/>
      <c r="U418" s="81"/>
      <c r="V418" s="81"/>
      <c r="AA418" s="2"/>
    </row>
    <row r="419" ht="12.75" customHeight="1">
      <c r="A419" s="1"/>
      <c r="B419" s="1"/>
      <c r="L419" s="72"/>
      <c r="S419" s="72"/>
      <c r="T419" s="72"/>
      <c r="U419" s="81"/>
      <c r="V419" s="81"/>
      <c r="AA419" s="2"/>
    </row>
    <row r="420" ht="12.75" customHeight="1">
      <c r="A420" s="1"/>
      <c r="B420" s="1"/>
      <c r="L420" s="72"/>
      <c r="S420" s="72"/>
      <c r="T420" s="72"/>
      <c r="U420" s="81"/>
      <c r="V420" s="81"/>
      <c r="AA420" s="2"/>
    </row>
    <row r="421" ht="12.75" customHeight="1">
      <c r="A421" s="1"/>
      <c r="B421" s="1"/>
      <c r="L421" s="72"/>
      <c r="S421" s="72"/>
      <c r="T421" s="72"/>
      <c r="U421" s="81"/>
      <c r="V421" s="81"/>
      <c r="AA421" s="2"/>
    </row>
    <row r="422" ht="12.75" customHeight="1">
      <c r="A422" s="1"/>
      <c r="B422" s="1"/>
      <c r="L422" s="72"/>
      <c r="S422" s="72"/>
      <c r="T422" s="72"/>
      <c r="U422" s="81"/>
      <c r="V422" s="81"/>
      <c r="AA422" s="2"/>
    </row>
    <row r="423" ht="12.75" customHeight="1">
      <c r="A423" s="1"/>
      <c r="B423" s="1"/>
      <c r="L423" s="72"/>
      <c r="S423" s="72"/>
      <c r="T423" s="72"/>
      <c r="U423" s="81"/>
      <c r="V423" s="81"/>
      <c r="AA423" s="2"/>
    </row>
    <row r="424" ht="12.75" customHeight="1">
      <c r="A424" s="1"/>
      <c r="B424" s="1"/>
      <c r="L424" s="72"/>
      <c r="S424" s="72"/>
      <c r="T424" s="72"/>
      <c r="U424" s="81"/>
      <c r="V424" s="81"/>
      <c r="AA424" s="2"/>
    </row>
    <row r="425" ht="12.75" customHeight="1">
      <c r="A425" s="1"/>
      <c r="B425" s="1"/>
      <c r="L425" s="72"/>
      <c r="S425" s="72"/>
      <c r="T425" s="72"/>
      <c r="U425" s="81"/>
      <c r="V425" s="81"/>
      <c r="AA425" s="2"/>
    </row>
    <row r="426" ht="12.75" customHeight="1">
      <c r="A426" s="1"/>
      <c r="B426" s="1"/>
      <c r="L426" s="72"/>
      <c r="S426" s="72"/>
      <c r="T426" s="72"/>
      <c r="U426" s="81"/>
      <c r="V426" s="81"/>
      <c r="AA426" s="2"/>
    </row>
    <row r="427" ht="12.75" customHeight="1">
      <c r="A427" s="1"/>
      <c r="B427" s="1"/>
      <c r="L427" s="72"/>
      <c r="S427" s="72"/>
      <c r="T427" s="72"/>
      <c r="U427" s="81"/>
      <c r="V427" s="81"/>
      <c r="AA427" s="2"/>
    </row>
    <row r="428" ht="12.75" customHeight="1">
      <c r="A428" s="1"/>
      <c r="B428" s="1"/>
      <c r="L428" s="72"/>
      <c r="S428" s="72"/>
      <c r="T428" s="72"/>
      <c r="U428" s="81"/>
      <c r="V428" s="81"/>
      <c r="AA428" s="2"/>
    </row>
    <row r="429" ht="12.75" customHeight="1">
      <c r="A429" s="1"/>
      <c r="B429" s="1"/>
      <c r="L429" s="72"/>
      <c r="S429" s="72"/>
      <c r="T429" s="72"/>
      <c r="U429" s="81"/>
      <c r="V429" s="81"/>
      <c r="AA429" s="2"/>
    </row>
    <row r="430" ht="12.75" customHeight="1">
      <c r="A430" s="1"/>
      <c r="B430" s="1"/>
      <c r="L430" s="72"/>
      <c r="S430" s="72"/>
      <c r="T430" s="72"/>
      <c r="U430" s="81"/>
      <c r="V430" s="81"/>
      <c r="AA430" s="2"/>
    </row>
    <row r="431" ht="12.75" customHeight="1">
      <c r="A431" s="1"/>
      <c r="B431" s="1"/>
      <c r="L431" s="72"/>
      <c r="S431" s="72"/>
      <c r="T431" s="72"/>
      <c r="U431" s="81"/>
      <c r="V431" s="81"/>
      <c r="AA431" s="2"/>
    </row>
    <row r="432" ht="12.75" customHeight="1">
      <c r="A432" s="1"/>
      <c r="B432" s="1"/>
      <c r="L432" s="72"/>
      <c r="S432" s="72"/>
      <c r="T432" s="72"/>
      <c r="U432" s="81"/>
      <c r="V432" s="81"/>
      <c r="AA432" s="2"/>
    </row>
    <row r="433" ht="12.75" customHeight="1">
      <c r="A433" s="1"/>
      <c r="B433" s="1"/>
      <c r="L433" s="72"/>
      <c r="S433" s="72"/>
      <c r="T433" s="72"/>
      <c r="U433" s="81"/>
      <c r="V433" s="81"/>
      <c r="AA433" s="2"/>
    </row>
    <row r="434" ht="12.75" customHeight="1">
      <c r="A434" s="1"/>
      <c r="B434" s="1"/>
      <c r="L434" s="72"/>
      <c r="S434" s="72"/>
      <c r="T434" s="72"/>
      <c r="U434" s="81"/>
      <c r="V434" s="81"/>
      <c r="AA434" s="2"/>
    </row>
    <row r="435" ht="12.75" customHeight="1">
      <c r="A435" s="1"/>
      <c r="B435" s="1"/>
      <c r="L435" s="72"/>
      <c r="S435" s="72"/>
      <c r="T435" s="72"/>
      <c r="U435" s="81"/>
      <c r="V435" s="81"/>
      <c r="AA435" s="2"/>
    </row>
    <row r="436" ht="12.75" customHeight="1">
      <c r="A436" s="1"/>
      <c r="B436" s="1"/>
      <c r="L436" s="72"/>
      <c r="S436" s="72"/>
      <c r="T436" s="72"/>
      <c r="U436" s="81"/>
      <c r="V436" s="81"/>
      <c r="AA436" s="2"/>
    </row>
    <row r="437" ht="12.75" customHeight="1">
      <c r="A437" s="1"/>
      <c r="B437" s="1"/>
      <c r="L437" s="72"/>
      <c r="S437" s="72"/>
      <c r="T437" s="72"/>
      <c r="U437" s="81"/>
      <c r="V437" s="81"/>
      <c r="AA437" s="2"/>
    </row>
    <row r="438" ht="12.75" customHeight="1">
      <c r="A438" s="1"/>
      <c r="B438" s="1"/>
      <c r="L438" s="72"/>
      <c r="S438" s="72"/>
      <c r="T438" s="72"/>
      <c r="U438" s="81"/>
      <c r="V438" s="81"/>
      <c r="AA438" s="2"/>
    </row>
    <row r="439" ht="12.75" customHeight="1">
      <c r="A439" s="1"/>
      <c r="B439" s="1"/>
      <c r="L439" s="72"/>
      <c r="S439" s="72"/>
      <c r="T439" s="72"/>
      <c r="U439" s="81"/>
      <c r="V439" s="81"/>
      <c r="AA439" s="2"/>
    </row>
    <row r="440" ht="12.75" customHeight="1">
      <c r="A440" s="1"/>
      <c r="B440" s="1"/>
      <c r="L440" s="72"/>
      <c r="S440" s="72"/>
      <c r="T440" s="72"/>
      <c r="U440" s="81"/>
      <c r="V440" s="81"/>
      <c r="AA440" s="2"/>
    </row>
    <row r="441" ht="12.75" customHeight="1">
      <c r="A441" s="1"/>
      <c r="B441" s="1"/>
      <c r="L441" s="72"/>
      <c r="S441" s="72"/>
      <c r="T441" s="72"/>
      <c r="U441" s="81"/>
      <c r="V441" s="81"/>
      <c r="AA441" s="2"/>
    </row>
    <row r="442" ht="12.75" customHeight="1">
      <c r="A442" s="1"/>
      <c r="B442" s="1"/>
      <c r="L442" s="72"/>
      <c r="S442" s="72"/>
      <c r="T442" s="72"/>
      <c r="U442" s="81"/>
      <c r="V442" s="81"/>
      <c r="AA442" s="2"/>
    </row>
    <row r="443" ht="12.75" customHeight="1">
      <c r="A443" s="1"/>
      <c r="B443" s="1"/>
      <c r="L443" s="72"/>
      <c r="S443" s="72"/>
      <c r="T443" s="72"/>
      <c r="U443" s="81"/>
      <c r="V443" s="81"/>
      <c r="AA443" s="2"/>
    </row>
    <row r="444" ht="12.75" customHeight="1">
      <c r="A444" s="1"/>
      <c r="B444" s="1"/>
      <c r="L444" s="72"/>
      <c r="S444" s="72"/>
      <c r="T444" s="72"/>
      <c r="U444" s="81"/>
      <c r="V444" s="81"/>
      <c r="AA444" s="2"/>
    </row>
    <row r="445" ht="12.75" customHeight="1">
      <c r="A445" s="1"/>
      <c r="B445" s="1"/>
      <c r="L445" s="72"/>
      <c r="S445" s="72"/>
      <c r="T445" s="72"/>
      <c r="U445" s="81"/>
      <c r="V445" s="81"/>
      <c r="AA445" s="2"/>
    </row>
    <row r="446" ht="12.75" customHeight="1">
      <c r="A446" s="1"/>
      <c r="B446" s="1"/>
      <c r="L446" s="72"/>
      <c r="S446" s="72"/>
      <c r="T446" s="72"/>
      <c r="U446" s="81"/>
      <c r="V446" s="81"/>
      <c r="AA446" s="2"/>
    </row>
    <row r="447" ht="12.75" customHeight="1">
      <c r="A447" s="1"/>
      <c r="B447" s="1"/>
      <c r="L447" s="72"/>
      <c r="S447" s="72"/>
      <c r="T447" s="72"/>
      <c r="U447" s="81"/>
      <c r="V447" s="81"/>
      <c r="AA447" s="2"/>
    </row>
    <row r="448" ht="12.75" customHeight="1">
      <c r="A448" s="1"/>
      <c r="B448" s="1"/>
      <c r="L448" s="72"/>
      <c r="S448" s="72"/>
      <c r="T448" s="72"/>
      <c r="U448" s="81"/>
      <c r="V448" s="81"/>
      <c r="AA448" s="2"/>
    </row>
    <row r="449" ht="12.75" customHeight="1">
      <c r="A449" s="1"/>
      <c r="B449" s="1"/>
      <c r="L449" s="72"/>
      <c r="S449" s="72"/>
      <c r="T449" s="72"/>
      <c r="U449" s="81"/>
      <c r="V449" s="81"/>
      <c r="AA449" s="2"/>
    </row>
    <row r="450" ht="12.75" customHeight="1">
      <c r="A450" s="1"/>
      <c r="B450" s="1"/>
      <c r="L450" s="72"/>
      <c r="S450" s="72"/>
      <c r="T450" s="72"/>
      <c r="U450" s="81"/>
      <c r="V450" s="81"/>
      <c r="AA450" s="2"/>
    </row>
    <row r="451" ht="12.75" customHeight="1">
      <c r="A451" s="1"/>
      <c r="B451" s="1"/>
      <c r="L451" s="72"/>
      <c r="S451" s="72"/>
      <c r="T451" s="72"/>
      <c r="U451" s="81"/>
      <c r="V451" s="81"/>
      <c r="AA451" s="2"/>
    </row>
    <row r="452" ht="12.75" customHeight="1">
      <c r="A452" s="1"/>
      <c r="B452" s="1"/>
      <c r="L452" s="72"/>
      <c r="S452" s="72"/>
      <c r="T452" s="72"/>
      <c r="U452" s="81"/>
      <c r="V452" s="81"/>
      <c r="AA452" s="2"/>
    </row>
    <row r="453" ht="12.75" customHeight="1">
      <c r="A453" s="1"/>
      <c r="B453" s="1"/>
      <c r="L453" s="72"/>
      <c r="S453" s="72"/>
      <c r="T453" s="72"/>
      <c r="U453" s="81"/>
      <c r="V453" s="81"/>
      <c r="AA453" s="2"/>
    </row>
    <row r="454" ht="12.75" customHeight="1">
      <c r="A454" s="1"/>
      <c r="B454" s="1"/>
      <c r="L454" s="72"/>
      <c r="S454" s="72"/>
      <c r="T454" s="72"/>
      <c r="U454" s="81"/>
      <c r="V454" s="81"/>
      <c r="AA454" s="2"/>
    </row>
    <row r="455" ht="12.75" customHeight="1">
      <c r="A455" s="1"/>
      <c r="B455" s="1"/>
      <c r="L455" s="72"/>
      <c r="S455" s="72"/>
      <c r="T455" s="72"/>
      <c r="U455" s="81"/>
      <c r="V455" s="81"/>
      <c r="AA455" s="2"/>
    </row>
    <row r="456" ht="12.75" customHeight="1">
      <c r="A456" s="1"/>
      <c r="B456" s="1"/>
      <c r="L456" s="72"/>
      <c r="S456" s="72"/>
      <c r="T456" s="72"/>
      <c r="U456" s="81"/>
      <c r="V456" s="81"/>
      <c r="AA456" s="2"/>
    </row>
    <row r="457" ht="12.75" customHeight="1">
      <c r="A457" s="1"/>
      <c r="B457" s="1"/>
      <c r="L457" s="72"/>
      <c r="S457" s="72"/>
      <c r="T457" s="72"/>
      <c r="U457" s="81"/>
      <c r="V457" s="81"/>
      <c r="AA457" s="2"/>
    </row>
    <row r="458" ht="12.75" customHeight="1">
      <c r="A458" s="1"/>
      <c r="B458" s="1"/>
      <c r="L458" s="72"/>
      <c r="S458" s="72"/>
      <c r="T458" s="72"/>
      <c r="U458" s="81"/>
      <c r="V458" s="81"/>
      <c r="AA458" s="2"/>
    </row>
    <row r="459" ht="12.75" customHeight="1">
      <c r="A459" s="1"/>
      <c r="B459" s="1"/>
      <c r="L459" s="72"/>
      <c r="S459" s="72"/>
      <c r="T459" s="72"/>
      <c r="U459" s="81"/>
      <c r="V459" s="81"/>
      <c r="AA459" s="2"/>
    </row>
    <row r="460" ht="12.75" customHeight="1">
      <c r="A460" s="1"/>
      <c r="B460" s="1"/>
      <c r="L460" s="72"/>
      <c r="S460" s="72"/>
      <c r="T460" s="72"/>
      <c r="U460" s="81"/>
      <c r="V460" s="81"/>
      <c r="AA460" s="2"/>
    </row>
    <row r="461" ht="12.75" customHeight="1">
      <c r="A461" s="1"/>
      <c r="B461" s="1"/>
      <c r="L461" s="72"/>
      <c r="S461" s="72"/>
      <c r="T461" s="72"/>
      <c r="U461" s="81"/>
      <c r="V461" s="81"/>
      <c r="AA461" s="2"/>
    </row>
    <row r="462" ht="12.75" customHeight="1">
      <c r="A462" s="1"/>
      <c r="B462" s="1"/>
      <c r="L462" s="72"/>
      <c r="S462" s="72"/>
      <c r="T462" s="72"/>
      <c r="U462" s="81"/>
      <c r="V462" s="81"/>
      <c r="AA462" s="2"/>
    </row>
    <row r="463" ht="12.75" customHeight="1">
      <c r="A463" s="1"/>
      <c r="B463" s="1"/>
      <c r="L463" s="72"/>
      <c r="S463" s="72"/>
      <c r="T463" s="72"/>
      <c r="U463" s="81"/>
      <c r="V463" s="81"/>
      <c r="AA463" s="2"/>
    </row>
    <row r="464" ht="12.75" customHeight="1">
      <c r="A464" s="1"/>
      <c r="B464" s="1"/>
      <c r="L464" s="72"/>
      <c r="S464" s="72"/>
      <c r="T464" s="72"/>
      <c r="U464" s="81"/>
      <c r="V464" s="81"/>
      <c r="AA464" s="2"/>
    </row>
    <row r="465" ht="12.75" customHeight="1">
      <c r="A465" s="1"/>
      <c r="B465" s="1"/>
      <c r="L465" s="72"/>
      <c r="S465" s="72"/>
      <c r="T465" s="72"/>
      <c r="U465" s="81"/>
      <c r="V465" s="81"/>
      <c r="AA465" s="2"/>
    </row>
    <row r="466" ht="12.75" customHeight="1">
      <c r="A466" s="1"/>
      <c r="B466" s="1"/>
      <c r="L466" s="72"/>
      <c r="S466" s="72"/>
      <c r="T466" s="72"/>
      <c r="U466" s="81"/>
      <c r="V466" s="81"/>
      <c r="AA466" s="2"/>
    </row>
    <row r="467" ht="12.75" customHeight="1">
      <c r="A467" s="1"/>
      <c r="B467" s="1"/>
      <c r="L467" s="72"/>
      <c r="S467" s="72"/>
      <c r="T467" s="72"/>
      <c r="U467" s="81"/>
      <c r="V467" s="81"/>
      <c r="AA467" s="2"/>
    </row>
    <row r="468" ht="12.75" customHeight="1">
      <c r="A468" s="1"/>
      <c r="B468" s="1"/>
      <c r="L468" s="72"/>
      <c r="S468" s="72"/>
      <c r="T468" s="72"/>
      <c r="U468" s="81"/>
      <c r="V468" s="81"/>
      <c r="AA468" s="2"/>
    </row>
    <row r="469" ht="12.75" customHeight="1">
      <c r="A469" s="1"/>
      <c r="B469" s="1"/>
      <c r="L469" s="72"/>
      <c r="S469" s="72"/>
      <c r="T469" s="72"/>
      <c r="U469" s="81"/>
      <c r="V469" s="81"/>
      <c r="AA469" s="2"/>
    </row>
    <row r="470" ht="12.75" customHeight="1">
      <c r="A470" s="1"/>
      <c r="B470" s="1"/>
      <c r="L470" s="72"/>
      <c r="S470" s="72"/>
      <c r="T470" s="72"/>
      <c r="U470" s="81"/>
      <c r="V470" s="81"/>
      <c r="AA470" s="2"/>
    </row>
    <row r="471" ht="12.75" customHeight="1">
      <c r="A471" s="1"/>
      <c r="B471" s="1"/>
      <c r="L471" s="72"/>
      <c r="S471" s="72"/>
      <c r="T471" s="72"/>
      <c r="U471" s="81"/>
      <c r="V471" s="81"/>
      <c r="AA471" s="2"/>
    </row>
    <row r="472" ht="12.75" customHeight="1">
      <c r="A472" s="1"/>
      <c r="B472" s="1"/>
      <c r="L472" s="72"/>
      <c r="S472" s="72"/>
      <c r="T472" s="72"/>
      <c r="U472" s="81"/>
      <c r="V472" s="81"/>
      <c r="AA472" s="2"/>
    </row>
    <row r="473" ht="12.75" customHeight="1">
      <c r="A473" s="1"/>
      <c r="B473" s="1"/>
      <c r="L473" s="72"/>
      <c r="S473" s="72"/>
      <c r="T473" s="72"/>
      <c r="U473" s="81"/>
      <c r="V473" s="81"/>
      <c r="AA473" s="2"/>
    </row>
    <row r="474" ht="12.75" customHeight="1">
      <c r="A474" s="1"/>
      <c r="B474" s="1"/>
      <c r="L474" s="72"/>
      <c r="S474" s="72"/>
      <c r="T474" s="72"/>
      <c r="U474" s="81"/>
      <c r="V474" s="81"/>
      <c r="AA474" s="2"/>
    </row>
    <row r="475" ht="12.75" customHeight="1">
      <c r="A475" s="1"/>
      <c r="B475" s="1"/>
      <c r="L475" s="72"/>
      <c r="S475" s="72"/>
      <c r="T475" s="72"/>
      <c r="U475" s="81"/>
      <c r="V475" s="81"/>
      <c r="AA475" s="2"/>
    </row>
    <row r="476" ht="12.75" customHeight="1">
      <c r="A476" s="1"/>
      <c r="B476" s="1"/>
      <c r="L476" s="72"/>
      <c r="S476" s="72"/>
      <c r="T476" s="72"/>
      <c r="U476" s="81"/>
      <c r="V476" s="81"/>
      <c r="AA476" s="2"/>
    </row>
    <row r="477" ht="12.75" customHeight="1">
      <c r="A477" s="1"/>
      <c r="B477" s="1"/>
      <c r="L477" s="72"/>
      <c r="S477" s="72"/>
      <c r="T477" s="72"/>
      <c r="U477" s="81"/>
      <c r="V477" s="81"/>
      <c r="AA477" s="2"/>
    </row>
    <row r="478" ht="12.75" customHeight="1">
      <c r="A478" s="1"/>
      <c r="B478" s="1"/>
      <c r="L478" s="72"/>
      <c r="S478" s="72"/>
      <c r="T478" s="72"/>
      <c r="U478" s="81"/>
      <c r="V478" s="81"/>
      <c r="AA478" s="2"/>
    </row>
    <row r="479" ht="12.75" customHeight="1">
      <c r="A479" s="1"/>
      <c r="B479" s="1"/>
      <c r="L479" s="72"/>
      <c r="S479" s="72"/>
      <c r="T479" s="72"/>
      <c r="U479" s="81"/>
      <c r="V479" s="81"/>
      <c r="AA479" s="2"/>
    </row>
    <row r="480" ht="12.75" customHeight="1">
      <c r="A480" s="1"/>
      <c r="B480" s="1"/>
      <c r="L480" s="72"/>
      <c r="S480" s="72"/>
      <c r="T480" s="72"/>
      <c r="U480" s="81"/>
      <c r="V480" s="81"/>
      <c r="AA480" s="2"/>
    </row>
    <row r="481" ht="12.75" customHeight="1">
      <c r="A481" s="1"/>
      <c r="B481" s="1"/>
      <c r="L481" s="72"/>
      <c r="S481" s="72"/>
      <c r="T481" s="72"/>
      <c r="U481" s="81"/>
      <c r="V481" s="81"/>
      <c r="AA481" s="2"/>
    </row>
    <row r="482" ht="12.75" customHeight="1">
      <c r="A482" s="1"/>
      <c r="B482" s="1"/>
      <c r="L482" s="72"/>
      <c r="S482" s="72"/>
      <c r="T482" s="72"/>
      <c r="U482" s="81"/>
      <c r="V482" s="81"/>
      <c r="AA482" s="2"/>
    </row>
    <row r="483" ht="12.75" customHeight="1">
      <c r="A483" s="1"/>
      <c r="B483" s="1"/>
      <c r="L483" s="72"/>
      <c r="S483" s="72"/>
      <c r="T483" s="72"/>
      <c r="U483" s="81"/>
      <c r="V483" s="81"/>
      <c r="AA483" s="2"/>
    </row>
    <row r="484" ht="12.75" customHeight="1">
      <c r="A484" s="1"/>
      <c r="B484" s="1"/>
      <c r="L484" s="72"/>
      <c r="S484" s="72"/>
      <c r="T484" s="72"/>
      <c r="U484" s="81"/>
      <c r="V484" s="81"/>
      <c r="AA484" s="2"/>
    </row>
    <row r="485" ht="12.75" customHeight="1">
      <c r="A485" s="1"/>
      <c r="B485" s="1"/>
      <c r="L485" s="72"/>
      <c r="S485" s="72"/>
      <c r="T485" s="72"/>
      <c r="U485" s="81"/>
      <c r="V485" s="81"/>
      <c r="AA485" s="2"/>
    </row>
    <row r="486" ht="12.75" customHeight="1">
      <c r="A486" s="1"/>
      <c r="B486" s="1"/>
      <c r="L486" s="72"/>
      <c r="S486" s="72"/>
      <c r="T486" s="72"/>
      <c r="U486" s="81"/>
      <c r="V486" s="81"/>
      <c r="AA486" s="2"/>
    </row>
    <row r="487" ht="12.75" customHeight="1">
      <c r="A487" s="1"/>
      <c r="B487" s="1"/>
      <c r="L487" s="72"/>
      <c r="S487" s="72"/>
      <c r="T487" s="72"/>
      <c r="U487" s="81"/>
      <c r="V487" s="81"/>
      <c r="AA487" s="2"/>
    </row>
    <row r="488" ht="12.75" customHeight="1">
      <c r="A488" s="1"/>
      <c r="B488" s="1"/>
      <c r="L488" s="72"/>
      <c r="S488" s="72"/>
      <c r="T488" s="72"/>
      <c r="U488" s="81"/>
      <c r="V488" s="81"/>
      <c r="AA488" s="2"/>
    </row>
    <row r="489" ht="12.75" customHeight="1">
      <c r="A489" s="1"/>
      <c r="B489" s="1"/>
      <c r="L489" s="72"/>
      <c r="S489" s="72"/>
      <c r="T489" s="72"/>
      <c r="U489" s="81"/>
      <c r="V489" s="81"/>
      <c r="AA489" s="2"/>
    </row>
    <row r="490" ht="12.75" customHeight="1">
      <c r="A490" s="1"/>
      <c r="B490" s="1"/>
      <c r="L490" s="72"/>
      <c r="S490" s="72"/>
      <c r="T490" s="72"/>
      <c r="U490" s="81"/>
      <c r="V490" s="81"/>
      <c r="AA490" s="2"/>
    </row>
    <row r="491" ht="12.75" customHeight="1">
      <c r="A491" s="1"/>
      <c r="B491" s="1"/>
      <c r="L491" s="72"/>
      <c r="S491" s="72"/>
      <c r="T491" s="72"/>
      <c r="U491" s="81"/>
      <c r="V491" s="81"/>
      <c r="AA491" s="2"/>
    </row>
    <row r="492" ht="12.75" customHeight="1">
      <c r="A492" s="1"/>
      <c r="B492" s="1"/>
      <c r="L492" s="72"/>
      <c r="S492" s="72"/>
      <c r="T492" s="72"/>
      <c r="U492" s="81"/>
      <c r="V492" s="81"/>
      <c r="AA492" s="2"/>
    </row>
    <row r="493" ht="12.75" customHeight="1">
      <c r="A493" s="1"/>
      <c r="B493" s="1"/>
      <c r="L493" s="72"/>
      <c r="S493" s="72"/>
      <c r="T493" s="72"/>
      <c r="U493" s="81"/>
      <c r="V493" s="81"/>
      <c r="AA493" s="2"/>
    </row>
    <row r="494" ht="12.75" customHeight="1">
      <c r="A494" s="1"/>
      <c r="B494" s="1"/>
      <c r="L494" s="72"/>
      <c r="S494" s="72"/>
      <c r="T494" s="72"/>
      <c r="U494" s="81"/>
      <c r="V494" s="81"/>
      <c r="AA494" s="2"/>
    </row>
    <row r="495" ht="12.75" customHeight="1">
      <c r="A495" s="1"/>
      <c r="B495" s="1"/>
      <c r="L495" s="72"/>
      <c r="S495" s="72"/>
      <c r="T495" s="72"/>
      <c r="U495" s="81"/>
      <c r="V495" s="81"/>
      <c r="AA495" s="2"/>
    </row>
    <row r="496" ht="12.75" customHeight="1">
      <c r="A496" s="1"/>
      <c r="B496" s="1"/>
      <c r="L496" s="72"/>
      <c r="S496" s="72"/>
      <c r="T496" s="72"/>
      <c r="U496" s="81"/>
      <c r="V496" s="81"/>
      <c r="AA496" s="2"/>
    </row>
    <row r="497" ht="12.75" customHeight="1">
      <c r="A497" s="1"/>
      <c r="B497" s="1"/>
      <c r="L497" s="72"/>
      <c r="S497" s="72"/>
      <c r="T497" s="72"/>
      <c r="U497" s="81"/>
      <c r="V497" s="81"/>
      <c r="AA497" s="2"/>
    </row>
    <row r="498" ht="12.75" customHeight="1">
      <c r="A498" s="1"/>
      <c r="B498" s="1"/>
      <c r="L498" s="72"/>
      <c r="S498" s="72"/>
      <c r="T498" s="72"/>
      <c r="U498" s="81"/>
      <c r="V498" s="81"/>
      <c r="AA498" s="2"/>
    </row>
    <row r="499" ht="12.75" customHeight="1">
      <c r="A499" s="1"/>
      <c r="B499" s="1"/>
      <c r="L499" s="72"/>
      <c r="S499" s="72"/>
      <c r="T499" s="72"/>
      <c r="U499" s="81"/>
      <c r="V499" s="81"/>
      <c r="AA499" s="2"/>
    </row>
    <row r="500" ht="12.75" customHeight="1">
      <c r="A500" s="1"/>
      <c r="B500" s="1"/>
      <c r="L500" s="72"/>
      <c r="S500" s="72"/>
      <c r="T500" s="72"/>
      <c r="U500" s="81"/>
      <c r="V500" s="81"/>
      <c r="AA500" s="2"/>
    </row>
    <row r="501" ht="12.75" customHeight="1">
      <c r="A501" s="1"/>
      <c r="B501" s="1"/>
      <c r="L501" s="72"/>
      <c r="S501" s="72"/>
      <c r="T501" s="72"/>
      <c r="U501" s="81"/>
      <c r="V501" s="81"/>
      <c r="AA501" s="2"/>
    </row>
    <row r="502" ht="12.75" customHeight="1">
      <c r="A502" s="1"/>
      <c r="B502" s="1"/>
      <c r="L502" s="72"/>
      <c r="S502" s="72"/>
      <c r="T502" s="72"/>
      <c r="U502" s="81"/>
      <c r="V502" s="81"/>
      <c r="AA502" s="2"/>
    </row>
    <row r="503" ht="12.75" customHeight="1">
      <c r="A503" s="1"/>
      <c r="B503" s="1"/>
      <c r="L503" s="72"/>
      <c r="S503" s="72"/>
      <c r="T503" s="72"/>
      <c r="U503" s="81"/>
      <c r="V503" s="81"/>
      <c r="AA503" s="2"/>
    </row>
    <row r="504" ht="12.75" customHeight="1">
      <c r="A504" s="1"/>
      <c r="B504" s="1"/>
      <c r="L504" s="72"/>
      <c r="S504" s="72"/>
      <c r="T504" s="72"/>
      <c r="U504" s="81"/>
      <c r="V504" s="81"/>
      <c r="AA504" s="2"/>
    </row>
    <row r="505" ht="12.75" customHeight="1">
      <c r="A505" s="1"/>
      <c r="B505" s="1"/>
      <c r="L505" s="72"/>
      <c r="S505" s="72"/>
      <c r="T505" s="72"/>
      <c r="U505" s="81"/>
      <c r="V505" s="81"/>
      <c r="AA505" s="2"/>
    </row>
    <row r="506" ht="12.75" customHeight="1">
      <c r="A506" s="1"/>
      <c r="B506" s="1"/>
      <c r="L506" s="72"/>
      <c r="S506" s="72"/>
      <c r="T506" s="72"/>
      <c r="U506" s="81"/>
      <c r="V506" s="81"/>
      <c r="AA506" s="2"/>
    </row>
    <row r="507" ht="12.75" customHeight="1">
      <c r="A507" s="1"/>
      <c r="B507" s="1"/>
      <c r="L507" s="72"/>
      <c r="S507" s="72"/>
      <c r="T507" s="72"/>
      <c r="U507" s="81"/>
      <c r="V507" s="81"/>
      <c r="AA507" s="2"/>
    </row>
    <row r="508" ht="12.75" customHeight="1">
      <c r="A508" s="1"/>
      <c r="B508" s="1"/>
      <c r="L508" s="72"/>
      <c r="S508" s="72"/>
      <c r="T508" s="72"/>
      <c r="U508" s="81"/>
      <c r="V508" s="81"/>
      <c r="AA508" s="2"/>
    </row>
    <row r="509" ht="12.75" customHeight="1">
      <c r="A509" s="1"/>
      <c r="B509" s="1"/>
      <c r="L509" s="72"/>
      <c r="S509" s="72"/>
      <c r="T509" s="72"/>
      <c r="U509" s="81"/>
      <c r="V509" s="81"/>
      <c r="AA509" s="2"/>
    </row>
    <row r="510" ht="12.75" customHeight="1">
      <c r="A510" s="1"/>
      <c r="B510" s="1"/>
      <c r="L510" s="72"/>
      <c r="S510" s="72"/>
      <c r="T510" s="72"/>
      <c r="U510" s="81"/>
      <c r="V510" s="81"/>
      <c r="AA510" s="2"/>
    </row>
    <row r="511" ht="12.75" customHeight="1">
      <c r="A511" s="1"/>
      <c r="B511" s="1"/>
      <c r="L511" s="72"/>
      <c r="S511" s="72"/>
      <c r="T511" s="72"/>
      <c r="U511" s="81"/>
      <c r="V511" s="81"/>
      <c r="AA511" s="2"/>
    </row>
    <row r="512" ht="12.75" customHeight="1">
      <c r="A512" s="1"/>
      <c r="B512" s="1"/>
      <c r="L512" s="72"/>
      <c r="S512" s="72"/>
      <c r="T512" s="72"/>
      <c r="U512" s="81"/>
      <c r="V512" s="81"/>
      <c r="AA512" s="2"/>
    </row>
    <row r="513" ht="12.75" customHeight="1">
      <c r="A513" s="1"/>
      <c r="B513" s="1"/>
      <c r="L513" s="72"/>
      <c r="S513" s="72"/>
      <c r="T513" s="72"/>
      <c r="U513" s="81"/>
      <c r="V513" s="81"/>
      <c r="AA513" s="2"/>
    </row>
    <row r="514" ht="12.75" customHeight="1">
      <c r="A514" s="1"/>
      <c r="B514" s="1"/>
      <c r="L514" s="72"/>
      <c r="S514" s="72"/>
      <c r="T514" s="72"/>
      <c r="U514" s="81"/>
      <c r="V514" s="81"/>
      <c r="AA514" s="2"/>
    </row>
    <row r="515" ht="12.75" customHeight="1">
      <c r="A515" s="1"/>
      <c r="B515" s="1"/>
      <c r="L515" s="72"/>
      <c r="S515" s="72"/>
      <c r="T515" s="72"/>
      <c r="U515" s="81"/>
      <c r="V515" s="81"/>
      <c r="AA515" s="2"/>
    </row>
    <row r="516" ht="12.75" customHeight="1">
      <c r="A516" s="1"/>
      <c r="B516" s="1"/>
      <c r="L516" s="72"/>
      <c r="S516" s="72"/>
      <c r="T516" s="72"/>
      <c r="U516" s="81"/>
      <c r="V516" s="81"/>
      <c r="AA516" s="2"/>
    </row>
    <row r="517" ht="12.75" customHeight="1">
      <c r="A517" s="1"/>
      <c r="B517" s="1"/>
      <c r="L517" s="72"/>
      <c r="S517" s="72"/>
      <c r="T517" s="72"/>
      <c r="U517" s="81"/>
      <c r="V517" s="81"/>
      <c r="AA517" s="2"/>
    </row>
    <row r="518" ht="12.75" customHeight="1">
      <c r="A518" s="1"/>
      <c r="B518" s="1"/>
      <c r="L518" s="72"/>
      <c r="S518" s="72"/>
      <c r="T518" s="72"/>
      <c r="U518" s="81"/>
      <c r="V518" s="81"/>
      <c r="AA518" s="2"/>
    </row>
    <row r="519" ht="12.75" customHeight="1">
      <c r="A519" s="1"/>
      <c r="B519" s="1"/>
      <c r="L519" s="72"/>
      <c r="S519" s="72"/>
      <c r="T519" s="72"/>
      <c r="U519" s="81"/>
      <c r="V519" s="81"/>
      <c r="AA519" s="2"/>
    </row>
    <row r="520" ht="12.75" customHeight="1">
      <c r="A520" s="1"/>
      <c r="B520" s="1"/>
      <c r="L520" s="72"/>
      <c r="S520" s="72"/>
      <c r="T520" s="72"/>
      <c r="U520" s="81"/>
      <c r="V520" s="81"/>
      <c r="AA520" s="2"/>
    </row>
    <row r="521" ht="12.75" customHeight="1">
      <c r="A521" s="1"/>
      <c r="B521" s="1"/>
      <c r="L521" s="72"/>
      <c r="S521" s="72"/>
      <c r="T521" s="72"/>
      <c r="U521" s="81"/>
      <c r="V521" s="81"/>
      <c r="AA521" s="2"/>
    </row>
    <row r="522" ht="12.75" customHeight="1">
      <c r="A522" s="1"/>
      <c r="B522" s="1"/>
      <c r="L522" s="72"/>
      <c r="S522" s="72"/>
      <c r="T522" s="72"/>
      <c r="U522" s="81"/>
      <c r="V522" s="81"/>
      <c r="AA522" s="2"/>
    </row>
    <row r="523" ht="12.75" customHeight="1">
      <c r="A523" s="1"/>
      <c r="B523" s="1"/>
      <c r="L523" s="72"/>
      <c r="S523" s="72"/>
      <c r="T523" s="72"/>
      <c r="U523" s="81"/>
      <c r="V523" s="81"/>
      <c r="AA523" s="2"/>
    </row>
    <row r="524" ht="12.75" customHeight="1">
      <c r="A524" s="1"/>
      <c r="B524" s="1"/>
      <c r="L524" s="72"/>
      <c r="S524" s="72"/>
      <c r="T524" s="72"/>
      <c r="U524" s="81"/>
      <c r="V524" s="81"/>
      <c r="AA524" s="2"/>
    </row>
    <row r="525" ht="12.75" customHeight="1">
      <c r="A525" s="1"/>
      <c r="B525" s="1"/>
      <c r="L525" s="72"/>
      <c r="S525" s="72"/>
      <c r="T525" s="72"/>
      <c r="U525" s="81"/>
      <c r="V525" s="81"/>
      <c r="AA525" s="2"/>
    </row>
    <row r="526" ht="12.75" customHeight="1">
      <c r="A526" s="1"/>
      <c r="B526" s="1"/>
      <c r="L526" s="72"/>
      <c r="S526" s="72"/>
      <c r="T526" s="72"/>
      <c r="U526" s="81"/>
      <c r="V526" s="81"/>
      <c r="AA526" s="2"/>
    </row>
    <row r="527" ht="12.75" customHeight="1">
      <c r="A527" s="1"/>
      <c r="B527" s="1"/>
      <c r="L527" s="72"/>
      <c r="S527" s="72"/>
      <c r="T527" s="72"/>
      <c r="U527" s="81"/>
      <c r="V527" s="81"/>
      <c r="AA527" s="2"/>
    </row>
    <row r="528" ht="12.75" customHeight="1">
      <c r="A528" s="1"/>
      <c r="B528" s="1"/>
      <c r="L528" s="72"/>
      <c r="S528" s="72"/>
      <c r="T528" s="72"/>
      <c r="U528" s="81"/>
      <c r="V528" s="81"/>
      <c r="AA528" s="2"/>
    </row>
    <row r="529" ht="12.75" customHeight="1">
      <c r="A529" s="1"/>
      <c r="B529" s="1"/>
      <c r="L529" s="72"/>
      <c r="S529" s="72"/>
      <c r="T529" s="72"/>
      <c r="U529" s="81"/>
      <c r="V529" s="81"/>
      <c r="AA529" s="2"/>
    </row>
    <row r="530" ht="12.75" customHeight="1">
      <c r="A530" s="1"/>
      <c r="B530" s="1"/>
      <c r="L530" s="72"/>
      <c r="S530" s="72"/>
      <c r="T530" s="72"/>
      <c r="U530" s="81"/>
      <c r="V530" s="81"/>
      <c r="AA530" s="2"/>
    </row>
    <row r="531" ht="12.75" customHeight="1">
      <c r="A531" s="1"/>
      <c r="B531" s="1"/>
      <c r="L531" s="72"/>
      <c r="S531" s="72"/>
      <c r="T531" s="72"/>
      <c r="U531" s="81"/>
      <c r="V531" s="81"/>
      <c r="AA531" s="2"/>
    </row>
    <row r="532" ht="12.75" customHeight="1">
      <c r="A532" s="1"/>
      <c r="B532" s="1"/>
      <c r="L532" s="72"/>
      <c r="S532" s="72"/>
      <c r="T532" s="72"/>
      <c r="U532" s="81"/>
      <c r="V532" s="81"/>
      <c r="AA532" s="2"/>
    </row>
    <row r="533" ht="12.75" customHeight="1">
      <c r="A533" s="1"/>
      <c r="B533" s="1"/>
      <c r="L533" s="72"/>
      <c r="S533" s="72"/>
      <c r="T533" s="72"/>
      <c r="U533" s="81"/>
      <c r="V533" s="81"/>
      <c r="AA533" s="2"/>
    </row>
    <row r="534" ht="12.75" customHeight="1">
      <c r="A534" s="1"/>
      <c r="B534" s="1"/>
      <c r="L534" s="72"/>
      <c r="S534" s="72"/>
      <c r="T534" s="72"/>
      <c r="U534" s="81"/>
      <c r="V534" s="81"/>
      <c r="AA534" s="2"/>
    </row>
    <row r="535" ht="12.75" customHeight="1">
      <c r="A535" s="1"/>
      <c r="B535" s="1"/>
      <c r="L535" s="72"/>
      <c r="S535" s="72"/>
      <c r="T535" s="72"/>
      <c r="U535" s="81"/>
      <c r="V535" s="81"/>
      <c r="AA535" s="2"/>
    </row>
    <row r="536" ht="12.75" customHeight="1">
      <c r="A536" s="1"/>
      <c r="B536" s="1"/>
      <c r="L536" s="72"/>
      <c r="S536" s="72"/>
      <c r="T536" s="72"/>
      <c r="U536" s="81"/>
      <c r="V536" s="81"/>
      <c r="AA536" s="2"/>
    </row>
    <row r="537" ht="12.75" customHeight="1">
      <c r="A537" s="1"/>
      <c r="B537" s="1"/>
      <c r="L537" s="72"/>
      <c r="S537" s="72"/>
      <c r="T537" s="72"/>
      <c r="U537" s="81"/>
      <c r="V537" s="81"/>
      <c r="AA537" s="2"/>
    </row>
    <row r="538" ht="12.75" customHeight="1">
      <c r="A538" s="1"/>
      <c r="B538" s="1"/>
      <c r="L538" s="72"/>
      <c r="S538" s="72"/>
      <c r="T538" s="72"/>
      <c r="U538" s="81"/>
      <c r="V538" s="81"/>
      <c r="AA538" s="2"/>
    </row>
    <row r="539" ht="12.75" customHeight="1">
      <c r="A539" s="1"/>
      <c r="B539" s="1"/>
      <c r="L539" s="72"/>
      <c r="S539" s="72"/>
      <c r="T539" s="72"/>
      <c r="U539" s="81"/>
      <c r="V539" s="81"/>
      <c r="AA539" s="2"/>
    </row>
    <row r="540" ht="12.75" customHeight="1">
      <c r="A540" s="1"/>
      <c r="B540" s="1"/>
      <c r="L540" s="72"/>
      <c r="S540" s="72"/>
      <c r="T540" s="72"/>
      <c r="U540" s="81"/>
      <c r="V540" s="81"/>
      <c r="AA540" s="2"/>
    </row>
    <row r="541" ht="12.75" customHeight="1">
      <c r="A541" s="1"/>
      <c r="B541" s="1"/>
      <c r="L541" s="72"/>
      <c r="S541" s="72"/>
      <c r="T541" s="72"/>
      <c r="U541" s="81"/>
      <c r="V541" s="81"/>
      <c r="AA541" s="2"/>
    </row>
    <row r="542" ht="12.75" customHeight="1">
      <c r="A542" s="1"/>
      <c r="B542" s="1"/>
      <c r="L542" s="72"/>
      <c r="S542" s="72"/>
      <c r="T542" s="72"/>
      <c r="U542" s="81"/>
      <c r="V542" s="81"/>
      <c r="AA542" s="2"/>
    </row>
    <row r="543" ht="12.75" customHeight="1">
      <c r="A543" s="1"/>
      <c r="B543" s="1"/>
      <c r="L543" s="72"/>
      <c r="S543" s="72"/>
      <c r="T543" s="72"/>
      <c r="U543" s="81"/>
      <c r="V543" s="81"/>
      <c r="AA543" s="2"/>
    </row>
    <row r="544" ht="12.75" customHeight="1">
      <c r="A544" s="1"/>
      <c r="B544" s="1"/>
      <c r="L544" s="72"/>
      <c r="S544" s="72"/>
      <c r="T544" s="72"/>
      <c r="U544" s="81"/>
      <c r="V544" s="81"/>
      <c r="AA544" s="2"/>
    </row>
    <row r="545" ht="12.75" customHeight="1">
      <c r="A545" s="1"/>
      <c r="B545" s="1"/>
      <c r="L545" s="72"/>
      <c r="S545" s="72"/>
      <c r="T545" s="72"/>
      <c r="U545" s="81"/>
      <c r="V545" s="81"/>
      <c r="AA545" s="2"/>
    </row>
    <row r="546" ht="12.75" customHeight="1">
      <c r="A546" s="1"/>
      <c r="B546" s="1"/>
      <c r="L546" s="72"/>
      <c r="S546" s="72"/>
      <c r="T546" s="72"/>
      <c r="U546" s="81"/>
      <c r="V546" s="81"/>
      <c r="AA546" s="2"/>
    </row>
    <row r="547" ht="12.75" customHeight="1">
      <c r="A547" s="1"/>
      <c r="B547" s="1"/>
      <c r="L547" s="72"/>
      <c r="S547" s="72"/>
      <c r="T547" s="72"/>
      <c r="U547" s="81"/>
      <c r="V547" s="81"/>
      <c r="AA547" s="2"/>
    </row>
    <row r="548" ht="12.75" customHeight="1">
      <c r="A548" s="1"/>
      <c r="B548" s="1"/>
      <c r="L548" s="72"/>
      <c r="S548" s="72"/>
      <c r="T548" s="72"/>
      <c r="U548" s="81"/>
      <c r="V548" s="81"/>
      <c r="AA548" s="2"/>
    </row>
    <row r="549" ht="12.75" customHeight="1">
      <c r="A549" s="1"/>
      <c r="B549" s="1"/>
      <c r="L549" s="72"/>
      <c r="S549" s="72"/>
      <c r="T549" s="72"/>
      <c r="U549" s="81"/>
      <c r="V549" s="81"/>
      <c r="AA549" s="2"/>
    </row>
    <row r="550" ht="12.75" customHeight="1">
      <c r="A550" s="1"/>
      <c r="B550" s="1"/>
      <c r="L550" s="72"/>
      <c r="S550" s="72"/>
      <c r="T550" s="72"/>
      <c r="U550" s="81"/>
      <c r="V550" s="81"/>
      <c r="AA550" s="2"/>
    </row>
    <row r="551" ht="12.75" customHeight="1">
      <c r="A551" s="1"/>
      <c r="B551" s="1"/>
      <c r="L551" s="72"/>
      <c r="S551" s="72"/>
      <c r="T551" s="72"/>
      <c r="U551" s="81"/>
      <c r="V551" s="81"/>
      <c r="AA551" s="2"/>
    </row>
    <row r="552" ht="12.75" customHeight="1">
      <c r="A552" s="1"/>
      <c r="B552" s="1"/>
      <c r="L552" s="72"/>
      <c r="S552" s="72"/>
      <c r="T552" s="72"/>
      <c r="U552" s="81"/>
      <c r="V552" s="81"/>
      <c r="AA552" s="2"/>
    </row>
    <row r="553" ht="12.75" customHeight="1">
      <c r="A553" s="1"/>
      <c r="B553" s="1"/>
      <c r="L553" s="72"/>
      <c r="S553" s="72"/>
      <c r="T553" s="72"/>
      <c r="U553" s="81"/>
      <c r="V553" s="81"/>
      <c r="AA553" s="2"/>
    </row>
    <row r="554" ht="12.75" customHeight="1">
      <c r="A554" s="1"/>
      <c r="B554" s="1"/>
      <c r="L554" s="72"/>
      <c r="S554" s="72"/>
      <c r="T554" s="72"/>
      <c r="U554" s="81"/>
      <c r="V554" s="81"/>
      <c r="AA554" s="2"/>
    </row>
    <row r="555" ht="12.75" customHeight="1">
      <c r="A555" s="1"/>
      <c r="B555" s="1"/>
      <c r="L555" s="72"/>
      <c r="S555" s="72"/>
      <c r="T555" s="72"/>
      <c r="U555" s="81"/>
      <c r="V555" s="81"/>
      <c r="AA555" s="2"/>
    </row>
    <row r="556" ht="12.75" customHeight="1">
      <c r="A556" s="1"/>
      <c r="B556" s="1"/>
      <c r="L556" s="72"/>
      <c r="S556" s="72"/>
      <c r="T556" s="72"/>
      <c r="U556" s="81"/>
      <c r="V556" s="81"/>
      <c r="AA556" s="2"/>
    </row>
    <row r="557" ht="12.75" customHeight="1">
      <c r="A557" s="1"/>
      <c r="B557" s="1"/>
      <c r="L557" s="72"/>
      <c r="S557" s="72"/>
      <c r="T557" s="72"/>
      <c r="U557" s="81"/>
      <c r="V557" s="81"/>
      <c r="AA557" s="2"/>
    </row>
    <row r="558" ht="12.75" customHeight="1">
      <c r="A558" s="1"/>
      <c r="B558" s="1"/>
      <c r="L558" s="72"/>
      <c r="S558" s="72"/>
      <c r="T558" s="72"/>
      <c r="U558" s="81"/>
      <c r="V558" s="81"/>
      <c r="AA558" s="2"/>
    </row>
    <row r="559" ht="12.75" customHeight="1">
      <c r="A559" s="1"/>
      <c r="B559" s="1"/>
      <c r="L559" s="72"/>
      <c r="S559" s="72"/>
      <c r="T559" s="72"/>
      <c r="U559" s="81"/>
      <c r="V559" s="81"/>
      <c r="AA559" s="2"/>
    </row>
    <row r="560" ht="12.75" customHeight="1">
      <c r="A560" s="1"/>
      <c r="B560" s="1"/>
      <c r="L560" s="72"/>
      <c r="S560" s="72"/>
      <c r="T560" s="72"/>
      <c r="U560" s="81"/>
      <c r="V560" s="81"/>
      <c r="AA560" s="2"/>
    </row>
    <row r="561" ht="12.75" customHeight="1">
      <c r="A561" s="1"/>
      <c r="B561" s="1"/>
      <c r="L561" s="72"/>
      <c r="S561" s="72"/>
      <c r="T561" s="72"/>
      <c r="U561" s="81"/>
      <c r="V561" s="81"/>
      <c r="AA561" s="2"/>
    </row>
    <row r="562" ht="12.75" customHeight="1">
      <c r="A562" s="1"/>
      <c r="B562" s="1"/>
      <c r="L562" s="72"/>
      <c r="S562" s="72"/>
      <c r="T562" s="72"/>
      <c r="U562" s="81"/>
      <c r="V562" s="81"/>
      <c r="AA562" s="2"/>
    </row>
    <row r="563" ht="12.75" customHeight="1">
      <c r="A563" s="1"/>
      <c r="B563" s="1"/>
      <c r="L563" s="72"/>
      <c r="S563" s="72"/>
      <c r="T563" s="72"/>
      <c r="U563" s="81"/>
      <c r="V563" s="81"/>
      <c r="AA563" s="2"/>
    </row>
    <row r="564" ht="12.75" customHeight="1">
      <c r="A564" s="1"/>
      <c r="B564" s="1"/>
      <c r="L564" s="72"/>
      <c r="S564" s="72"/>
      <c r="T564" s="72"/>
      <c r="U564" s="81"/>
      <c r="V564" s="81"/>
      <c r="AA564" s="2"/>
    </row>
    <row r="565" ht="12.75" customHeight="1">
      <c r="A565" s="1"/>
      <c r="B565" s="1"/>
      <c r="L565" s="72"/>
      <c r="S565" s="72"/>
      <c r="T565" s="72"/>
      <c r="U565" s="81"/>
      <c r="V565" s="81"/>
      <c r="AA565" s="2"/>
    </row>
    <row r="566" ht="12.75" customHeight="1">
      <c r="A566" s="1"/>
      <c r="B566" s="1"/>
      <c r="L566" s="72"/>
      <c r="S566" s="72"/>
      <c r="T566" s="72"/>
      <c r="U566" s="81"/>
      <c r="V566" s="81"/>
      <c r="AA566" s="2"/>
    </row>
    <row r="567" ht="12.75" customHeight="1">
      <c r="A567" s="1"/>
      <c r="B567" s="1"/>
      <c r="L567" s="72"/>
      <c r="S567" s="72"/>
      <c r="T567" s="72"/>
      <c r="U567" s="81"/>
      <c r="V567" s="81"/>
      <c r="AA567" s="2"/>
    </row>
    <row r="568" ht="12.75" customHeight="1">
      <c r="A568" s="1"/>
      <c r="B568" s="1"/>
      <c r="L568" s="72"/>
      <c r="S568" s="72"/>
      <c r="T568" s="72"/>
      <c r="U568" s="81"/>
      <c r="V568" s="81"/>
      <c r="AA568" s="2"/>
    </row>
    <row r="569" ht="12.75" customHeight="1">
      <c r="A569" s="1"/>
      <c r="B569" s="1"/>
      <c r="L569" s="72"/>
      <c r="S569" s="72"/>
      <c r="T569" s="72"/>
      <c r="U569" s="81"/>
      <c r="V569" s="81"/>
      <c r="AA569" s="2"/>
    </row>
    <row r="570" ht="12.75" customHeight="1">
      <c r="A570" s="1"/>
      <c r="B570" s="1"/>
      <c r="L570" s="72"/>
      <c r="S570" s="72"/>
      <c r="T570" s="72"/>
      <c r="U570" s="81"/>
      <c r="V570" s="81"/>
      <c r="AA570" s="2"/>
    </row>
    <row r="571" ht="12.75" customHeight="1">
      <c r="A571" s="1"/>
      <c r="B571" s="1"/>
      <c r="L571" s="72"/>
      <c r="S571" s="72"/>
      <c r="T571" s="72"/>
      <c r="U571" s="81"/>
      <c r="V571" s="81"/>
      <c r="AA571" s="2"/>
    </row>
    <row r="572" ht="12.75" customHeight="1">
      <c r="A572" s="1"/>
      <c r="B572" s="1"/>
      <c r="L572" s="72"/>
      <c r="S572" s="72"/>
      <c r="T572" s="72"/>
      <c r="U572" s="81"/>
      <c r="V572" s="81"/>
      <c r="AA572" s="2"/>
    </row>
    <row r="573" ht="12.75" customHeight="1">
      <c r="A573" s="1"/>
      <c r="B573" s="1"/>
      <c r="L573" s="72"/>
      <c r="S573" s="72"/>
      <c r="T573" s="72"/>
      <c r="U573" s="81"/>
      <c r="V573" s="81"/>
      <c r="AA573" s="2"/>
    </row>
    <row r="574" ht="12.75" customHeight="1">
      <c r="A574" s="1"/>
      <c r="B574" s="1"/>
      <c r="L574" s="72"/>
      <c r="S574" s="72"/>
      <c r="T574" s="72"/>
      <c r="U574" s="81"/>
      <c r="V574" s="81"/>
      <c r="AA574" s="2"/>
    </row>
    <row r="575" ht="12.75" customHeight="1">
      <c r="A575" s="1"/>
      <c r="B575" s="1"/>
      <c r="L575" s="72"/>
      <c r="S575" s="72"/>
      <c r="T575" s="72"/>
      <c r="U575" s="81"/>
      <c r="V575" s="81"/>
      <c r="AA575" s="2"/>
    </row>
    <row r="576" ht="12.75" customHeight="1">
      <c r="A576" s="1"/>
      <c r="B576" s="1"/>
      <c r="L576" s="72"/>
      <c r="S576" s="72"/>
      <c r="T576" s="72"/>
      <c r="U576" s="81"/>
      <c r="V576" s="81"/>
      <c r="AA576" s="2"/>
    </row>
    <row r="577" ht="12.75" customHeight="1">
      <c r="A577" s="1"/>
      <c r="B577" s="1"/>
      <c r="L577" s="72"/>
      <c r="S577" s="72"/>
      <c r="T577" s="72"/>
      <c r="U577" s="81"/>
      <c r="V577" s="81"/>
      <c r="AA577" s="2"/>
    </row>
    <row r="578" ht="12.75" customHeight="1">
      <c r="A578" s="1"/>
      <c r="B578" s="1"/>
      <c r="L578" s="72"/>
      <c r="S578" s="72"/>
      <c r="T578" s="72"/>
      <c r="U578" s="81"/>
      <c r="V578" s="81"/>
      <c r="AA578" s="2"/>
    </row>
    <row r="579" ht="12.75" customHeight="1">
      <c r="A579" s="1"/>
      <c r="B579" s="1"/>
      <c r="L579" s="72"/>
      <c r="S579" s="72"/>
      <c r="T579" s="72"/>
      <c r="U579" s="81"/>
      <c r="V579" s="81"/>
      <c r="AA579" s="2"/>
    </row>
    <row r="580" ht="12.75" customHeight="1">
      <c r="A580" s="1"/>
      <c r="B580" s="1"/>
      <c r="L580" s="72"/>
      <c r="S580" s="72"/>
      <c r="T580" s="72"/>
      <c r="U580" s="81"/>
      <c r="V580" s="81"/>
      <c r="AA580" s="2"/>
    </row>
    <row r="581" ht="12.75" customHeight="1">
      <c r="A581" s="1"/>
      <c r="B581" s="1"/>
      <c r="L581" s="72"/>
      <c r="S581" s="72"/>
      <c r="T581" s="72"/>
      <c r="U581" s="81"/>
      <c r="V581" s="81"/>
      <c r="AA581" s="2"/>
    </row>
    <row r="582" ht="12.75" customHeight="1">
      <c r="A582" s="1"/>
      <c r="B582" s="1"/>
      <c r="L582" s="72"/>
      <c r="S582" s="72"/>
      <c r="T582" s="72"/>
      <c r="U582" s="81"/>
      <c r="V582" s="81"/>
      <c r="AA582" s="2"/>
    </row>
    <row r="583" ht="12.75" customHeight="1">
      <c r="A583" s="1"/>
      <c r="B583" s="1"/>
      <c r="L583" s="72"/>
      <c r="S583" s="72"/>
      <c r="T583" s="72"/>
      <c r="U583" s="81"/>
      <c r="V583" s="81"/>
      <c r="AA583" s="2"/>
    </row>
    <row r="584" ht="12.75" customHeight="1">
      <c r="A584" s="1"/>
      <c r="B584" s="1"/>
      <c r="L584" s="72"/>
      <c r="S584" s="72"/>
      <c r="T584" s="72"/>
      <c r="U584" s="81"/>
      <c r="V584" s="81"/>
      <c r="AA584" s="2"/>
    </row>
    <row r="585" ht="12.75" customHeight="1">
      <c r="A585" s="1"/>
      <c r="B585" s="1"/>
      <c r="L585" s="72"/>
      <c r="S585" s="72"/>
      <c r="T585" s="72"/>
      <c r="U585" s="81"/>
      <c r="V585" s="81"/>
      <c r="AA585" s="2"/>
    </row>
    <row r="586" ht="12.75" customHeight="1">
      <c r="A586" s="1"/>
      <c r="B586" s="1"/>
      <c r="L586" s="72"/>
      <c r="S586" s="72"/>
      <c r="T586" s="72"/>
      <c r="U586" s="81"/>
      <c r="V586" s="81"/>
      <c r="AA586" s="2"/>
    </row>
    <row r="587" ht="12.75" customHeight="1">
      <c r="A587" s="1"/>
      <c r="B587" s="1"/>
      <c r="L587" s="72"/>
      <c r="S587" s="72"/>
      <c r="T587" s="72"/>
      <c r="U587" s="81"/>
      <c r="V587" s="81"/>
      <c r="AA587" s="2"/>
    </row>
    <row r="588" ht="12.75" customHeight="1">
      <c r="A588" s="1"/>
      <c r="B588" s="1"/>
      <c r="L588" s="72"/>
      <c r="S588" s="72"/>
      <c r="T588" s="72"/>
      <c r="U588" s="81"/>
      <c r="V588" s="81"/>
      <c r="AA588" s="2"/>
    </row>
    <row r="589" ht="12.75" customHeight="1">
      <c r="A589" s="1"/>
      <c r="B589" s="1"/>
      <c r="L589" s="72"/>
      <c r="S589" s="72"/>
      <c r="T589" s="72"/>
      <c r="U589" s="81"/>
      <c r="V589" s="81"/>
      <c r="AA589" s="2"/>
    </row>
    <row r="590" ht="12.75" customHeight="1">
      <c r="A590" s="1"/>
      <c r="B590" s="1"/>
      <c r="L590" s="72"/>
      <c r="S590" s="72"/>
      <c r="T590" s="72"/>
      <c r="U590" s="81"/>
      <c r="V590" s="81"/>
      <c r="AA590" s="2"/>
    </row>
    <row r="591" ht="12.75" customHeight="1">
      <c r="A591" s="1"/>
      <c r="B591" s="1"/>
      <c r="L591" s="72"/>
      <c r="S591" s="72"/>
      <c r="T591" s="72"/>
      <c r="U591" s="81"/>
      <c r="V591" s="81"/>
      <c r="AA591" s="2"/>
    </row>
    <row r="592" ht="12.75" customHeight="1">
      <c r="A592" s="1"/>
      <c r="B592" s="1"/>
      <c r="L592" s="72"/>
      <c r="S592" s="72"/>
      <c r="T592" s="72"/>
      <c r="U592" s="81"/>
      <c r="V592" s="81"/>
      <c r="AA592" s="2"/>
    </row>
    <row r="593" ht="12.75" customHeight="1">
      <c r="A593" s="1"/>
      <c r="B593" s="1"/>
      <c r="L593" s="72"/>
      <c r="S593" s="72"/>
      <c r="T593" s="72"/>
      <c r="U593" s="81"/>
      <c r="V593" s="81"/>
      <c r="AA593" s="2"/>
    </row>
    <row r="594" ht="12.75" customHeight="1">
      <c r="A594" s="1"/>
      <c r="B594" s="1"/>
      <c r="L594" s="72"/>
      <c r="S594" s="72"/>
      <c r="T594" s="72"/>
      <c r="U594" s="81"/>
      <c r="V594" s="81"/>
      <c r="AA594" s="2"/>
    </row>
    <row r="595" ht="12.75" customHeight="1">
      <c r="A595" s="1"/>
      <c r="B595" s="1"/>
      <c r="L595" s="72"/>
      <c r="S595" s="72"/>
      <c r="T595" s="72"/>
      <c r="U595" s="81"/>
      <c r="V595" s="81"/>
      <c r="AA595" s="2"/>
    </row>
    <row r="596" ht="12.75" customHeight="1">
      <c r="A596" s="1"/>
      <c r="B596" s="1"/>
      <c r="L596" s="72"/>
      <c r="S596" s="72"/>
      <c r="T596" s="72"/>
      <c r="U596" s="81"/>
      <c r="V596" s="81"/>
      <c r="AA596" s="2"/>
    </row>
    <row r="597" ht="12.75" customHeight="1">
      <c r="A597" s="1"/>
      <c r="B597" s="1"/>
      <c r="L597" s="72"/>
      <c r="S597" s="72"/>
      <c r="T597" s="72"/>
      <c r="U597" s="81"/>
      <c r="V597" s="81"/>
      <c r="AA597" s="2"/>
    </row>
    <row r="598" ht="12.75" customHeight="1">
      <c r="A598" s="1"/>
      <c r="B598" s="1"/>
      <c r="L598" s="72"/>
      <c r="S598" s="72"/>
      <c r="T598" s="72"/>
      <c r="U598" s="81"/>
      <c r="V598" s="81"/>
      <c r="AA598" s="2"/>
    </row>
    <row r="599" ht="12.75" customHeight="1">
      <c r="A599" s="1"/>
      <c r="B599" s="1"/>
      <c r="L599" s="72"/>
      <c r="S599" s="72"/>
      <c r="T599" s="72"/>
      <c r="U599" s="81"/>
      <c r="V599" s="81"/>
      <c r="AA599" s="2"/>
    </row>
    <row r="600" ht="12.75" customHeight="1">
      <c r="A600" s="1"/>
      <c r="B600" s="1"/>
      <c r="L600" s="72"/>
      <c r="S600" s="72"/>
      <c r="T600" s="72"/>
      <c r="U600" s="81"/>
      <c r="V600" s="81"/>
      <c r="AA600" s="2"/>
    </row>
    <row r="601" ht="12.75" customHeight="1">
      <c r="A601" s="1"/>
      <c r="B601" s="1"/>
      <c r="L601" s="72"/>
      <c r="S601" s="72"/>
      <c r="T601" s="72"/>
      <c r="U601" s="81"/>
      <c r="V601" s="81"/>
      <c r="AA601" s="2"/>
    </row>
    <row r="602" ht="12.75" customHeight="1">
      <c r="A602" s="1"/>
      <c r="B602" s="1"/>
      <c r="L602" s="72"/>
      <c r="S602" s="72"/>
      <c r="T602" s="72"/>
      <c r="U602" s="81"/>
      <c r="V602" s="81"/>
      <c r="AA602" s="2"/>
    </row>
    <row r="603" ht="12.75" customHeight="1">
      <c r="A603" s="1"/>
      <c r="B603" s="1"/>
      <c r="L603" s="72"/>
      <c r="S603" s="72"/>
      <c r="T603" s="72"/>
      <c r="U603" s="81"/>
      <c r="V603" s="81"/>
      <c r="AA603" s="2"/>
    </row>
    <row r="604" ht="12.75" customHeight="1">
      <c r="A604" s="1"/>
      <c r="B604" s="1"/>
      <c r="L604" s="72"/>
      <c r="S604" s="72"/>
      <c r="T604" s="72"/>
      <c r="U604" s="81"/>
      <c r="V604" s="81"/>
      <c r="AA604" s="2"/>
    </row>
    <row r="605" ht="12.75" customHeight="1">
      <c r="A605" s="1"/>
      <c r="B605" s="1"/>
      <c r="L605" s="72"/>
      <c r="S605" s="72"/>
      <c r="T605" s="72"/>
      <c r="U605" s="81"/>
      <c r="V605" s="81"/>
      <c r="AA605" s="2"/>
    </row>
    <row r="606" ht="12.75" customHeight="1">
      <c r="A606" s="1"/>
      <c r="B606" s="1"/>
      <c r="L606" s="72"/>
      <c r="S606" s="72"/>
      <c r="T606" s="72"/>
      <c r="U606" s="81"/>
      <c r="V606" s="81"/>
      <c r="AA606" s="2"/>
    </row>
    <row r="607" ht="12.75" customHeight="1">
      <c r="A607" s="1"/>
      <c r="B607" s="1"/>
      <c r="L607" s="72"/>
      <c r="S607" s="72"/>
      <c r="T607" s="72"/>
      <c r="U607" s="81"/>
      <c r="V607" s="81"/>
      <c r="AA607" s="2"/>
    </row>
    <row r="608" ht="12.75" customHeight="1">
      <c r="A608" s="1"/>
      <c r="B608" s="1"/>
      <c r="L608" s="72"/>
      <c r="S608" s="72"/>
      <c r="T608" s="72"/>
      <c r="U608" s="81"/>
      <c r="V608" s="81"/>
      <c r="AA608" s="2"/>
    </row>
    <row r="609" ht="12.75" customHeight="1">
      <c r="A609" s="1"/>
      <c r="B609" s="1"/>
      <c r="L609" s="72"/>
      <c r="S609" s="72"/>
      <c r="T609" s="72"/>
      <c r="U609" s="81"/>
      <c r="V609" s="81"/>
      <c r="AA609" s="2"/>
    </row>
    <row r="610" ht="12.75" customHeight="1">
      <c r="A610" s="1"/>
      <c r="B610" s="1"/>
      <c r="L610" s="72"/>
      <c r="S610" s="72"/>
      <c r="T610" s="72"/>
      <c r="U610" s="81"/>
      <c r="V610" s="81"/>
      <c r="AA610" s="2"/>
    </row>
    <row r="611" ht="12.75" customHeight="1">
      <c r="A611" s="1"/>
      <c r="B611" s="1"/>
      <c r="L611" s="72"/>
      <c r="S611" s="72"/>
      <c r="T611" s="72"/>
      <c r="U611" s="81"/>
      <c r="V611" s="81"/>
      <c r="AA611" s="2"/>
    </row>
    <row r="612" ht="12.75" customHeight="1">
      <c r="A612" s="1"/>
      <c r="B612" s="1"/>
      <c r="L612" s="72"/>
      <c r="S612" s="72"/>
      <c r="T612" s="72"/>
      <c r="U612" s="81"/>
      <c r="V612" s="81"/>
      <c r="AA612" s="2"/>
    </row>
    <row r="613" ht="12.75" customHeight="1">
      <c r="A613" s="1"/>
      <c r="B613" s="1"/>
      <c r="L613" s="72"/>
      <c r="S613" s="72"/>
      <c r="T613" s="72"/>
      <c r="U613" s="81"/>
      <c r="V613" s="81"/>
      <c r="AA613" s="2"/>
    </row>
    <row r="614" ht="12.75" customHeight="1">
      <c r="A614" s="1"/>
      <c r="B614" s="1"/>
      <c r="L614" s="72"/>
      <c r="S614" s="72"/>
      <c r="T614" s="72"/>
      <c r="U614" s="81"/>
      <c r="V614" s="81"/>
      <c r="AA614" s="2"/>
    </row>
    <row r="615" ht="12.75" customHeight="1">
      <c r="A615" s="1"/>
      <c r="B615" s="1"/>
      <c r="L615" s="72"/>
      <c r="S615" s="72"/>
      <c r="T615" s="72"/>
      <c r="U615" s="81"/>
      <c r="V615" s="81"/>
      <c r="AA615" s="2"/>
    </row>
    <row r="616" ht="12.75" customHeight="1">
      <c r="A616" s="1"/>
      <c r="B616" s="1"/>
      <c r="L616" s="72"/>
      <c r="S616" s="72"/>
      <c r="T616" s="72"/>
      <c r="U616" s="81"/>
      <c r="V616" s="81"/>
      <c r="AA616" s="2"/>
    </row>
    <row r="617" ht="12.75" customHeight="1">
      <c r="A617" s="1"/>
      <c r="B617" s="1"/>
      <c r="L617" s="72"/>
      <c r="S617" s="72"/>
      <c r="T617" s="72"/>
      <c r="U617" s="81"/>
      <c r="V617" s="81"/>
      <c r="AA617" s="2"/>
    </row>
    <row r="618" ht="12.75" customHeight="1">
      <c r="A618" s="1"/>
      <c r="B618" s="1"/>
      <c r="L618" s="72"/>
      <c r="S618" s="72"/>
      <c r="T618" s="72"/>
      <c r="U618" s="81"/>
      <c r="V618" s="81"/>
      <c r="AA618" s="2"/>
    </row>
    <row r="619" ht="12.75" customHeight="1">
      <c r="A619" s="1"/>
      <c r="B619" s="1"/>
      <c r="L619" s="72"/>
      <c r="S619" s="72"/>
      <c r="T619" s="72"/>
      <c r="U619" s="81"/>
      <c r="V619" s="81"/>
      <c r="AA619" s="2"/>
    </row>
    <row r="620" ht="12.75" customHeight="1">
      <c r="A620" s="1"/>
      <c r="B620" s="1"/>
      <c r="L620" s="72"/>
      <c r="S620" s="72"/>
      <c r="T620" s="72"/>
      <c r="U620" s="81"/>
      <c r="V620" s="81"/>
      <c r="AA620" s="2"/>
    </row>
    <row r="621" ht="12.75" customHeight="1">
      <c r="A621" s="1"/>
      <c r="B621" s="1"/>
      <c r="L621" s="72"/>
      <c r="S621" s="72"/>
      <c r="T621" s="72"/>
      <c r="U621" s="81"/>
      <c r="V621" s="81"/>
      <c r="AA621" s="2"/>
    </row>
    <row r="622" ht="12.75" customHeight="1">
      <c r="A622" s="1"/>
      <c r="B622" s="1"/>
      <c r="L622" s="72"/>
      <c r="S622" s="72"/>
      <c r="T622" s="72"/>
      <c r="U622" s="81"/>
      <c r="V622" s="81"/>
      <c r="AA622" s="2"/>
    </row>
    <row r="623" ht="12.75" customHeight="1">
      <c r="A623" s="1"/>
      <c r="B623" s="1"/>
      <c r="L623" s="72"/>
      <c r="S623" s="72"/>
      <c r="T623" s="72"/>
      <c r="U623" s="81"/>
      <c r="V623" s="81"/>
      <c r="AA623" s="2"/>
    </row>
    <row r="624" ht="12.75" customHeight="1">
      <c r="A624" s="1"/>
      <c r="B624" s="1"/>
      <c r="L624" s="72"/>
      <c r="S624" s="72"/>
      <c r="T624" s="72"/>
      <c r="U624" s="81"/>
      <c r="V624" s="81"/>
      <c r="AA624" s="2"/>
    </row>
    <row r="625" ht="12.75" customHeight="1">
      <c r="A625" s="1"/>
      <c r="B625" s="1"/>
      <c r="L625" s="72"/>
      <c r="S625" s="72"/>
      <c r="T625" s="72"/>
      <c r="U625" s="81"/>
      <c r="V625" s="81"/>
      <c r="AA625" s="2"/>
    </row>
    <row r="626" ht="12.75" customHeight="1">
      <c r="A626" s="1"/>
      <c r="B626" s="1"/>
      <c r="L626" s="72"/>
      <c r="S626" s="72"/>
      <c r="T626" s="72"/>
      <c r="U626" s="81"/>
      <c r="V626" s="81"/>
      <c r="AA626" s="2"/>
    </row>
    <row r="627" ht="12.75" customHeight="1">
      <c r="A627" s="1"/>
      <c r="B627" s="1"/>
      <c r="L627" s="72"/>
      <c r="S627" s="72"/>
      <c r="T627" s="72"/>
      <c r="U627" s="81"/>
      <c r="V627" s="81"/>
      <c r="AA627" s="2"/>
    </row>
    <row r="628" ht="12.75" customHeight="1">
      <c r="A628" s="1"/>
      <c r="B628" s="1"/>
      <c r="L628" s="72"/>
      <c r="S628" s="72"/>
      <c r="T628" s="72"/>
      <c r="U628" s="81"/>
      <c r="V628" s="81"/>
      <c r="AA628" s="2"/>
    </row>
    <row r="629" ht="12.75" customHeight="1">
      <c r="A629" s="1"/>
      <c r="B629" s="1"/>
      <c r="L629" s="72"/>
      <c r="S629" s="72"/>
      <c r="T629" s="72"/>
      <c r="U629" s="81"/>
      <c r="V629" s="81"/>
      <c r="AA629" s="2"/>
    </row>
    <row r="630" ht="12.75" customHeight="1">
      <c r="A630" s="1"/>
      <c r="B630" s="1"/>
      <c r="L630" s="72"/>
      <c r="S630" s="72"/>
      <c r="T630" s="72"/>
      <c r="U630" s="81"/>
      <c r="V630" s="81"/>
      <c r="AA630" s="2"/>
    </row>
    <row r="631" ht="12.75" customHeight="1">
      <c r="A631" s="1"/>
      <c r="B631" s="1"/>
      <c r="L631" s="72"/>
      <c r="S631" s="72"/>
      <c r="T631" s="72"/>
      <c r="U631" s="81"/>
      <c r="V631" s="81"/>
      <c r="AA631" s="2"/>
    </row>
    <row r="632" ht="12.75" customHeight="1">
      <c r="A632" s="1"/>
      <c r="B632" s="1"/>
      <c r="L632" s="72"/>
      <c r="S632" s="72"/>
      <c r="T632" s="72"/>
      <c r="U632" s="81"/>
      <c r="V632" s="81"/>
      <c r="AA632" s="2"/>
    </row>
    <row r="633" ht="12.75" customHeight="1">
      <c r="A633" s="1"/>
      <c r="B633" s="1"/>
      <c r="L633" s="72"/>
      <c r="S633" s="72"/>
      <c r="T633" s="72"/>
      <c r="U633" s="81"/>
      <c r="V633" s="81"/>
      <c r="AA633" s="2"/>
    </row>
    <row r="634" ht="12.75" customHeight="1">
      <c r="A634" s="1"/>
      <c r="B634" s="1"/>
      <c r="L634" s="72"/>
      <c r="S634" s="72"/>
      <c r="T634" s="72"/>
      <c r="U634" s="81"/>
      <c r="V634" s="81"/>
      <c r="AA634" s="2"/>
    </row>
    <row r="635" ht="12.75" customHeight="1">
      <c r="A635" s="1"/>
      <c r="B635" s="1"/>
      <c r="L635" s="72"/>
      <c r="S635" s="72"/>
      <c r="T635" s="72"/>
      <c r="U635" s="81"/>
      <c r="V635" s="81"/>
      <c r="AA635" s="2"/>
    </row>
    <row r="636" ht="12.75" customHeight="1">
      <c r="A636" s="1"/>
      <c r="B636" s="1"/>
      <c r="L636" s="72"/>
      <c r="S636" s="72"/>
      <c r="T636" s="72"/>
      <c r="U636" s="81"/>
      <c r="V636" s="81"/>
      <c r="AA636" s="2"/>
    </row>
    <row r="637" ht="12.75" customHeight="1">
      <c r="A637" s="1"/>
      <c r="B637" s="1"/>
      <c r="L637" s="72"/>
      <c r="S637" s="72"/>
      <c r="T637" s="72"/>
      <c r="U637" s="81"/>
      <c r="V637" s="81"/>
      <c r="AA637" s="2"/>
    </row>
    <row r="638" ht="12.75" customHeight="1">
      <c r="A638" s="1"/>
      <c r="B638" s="1"/>
      <c r="L638" s="72"/>
      <c r="S638" s="72"/>
      <c r="T638" s="72"/>
      <c r="U638" s="81"/>
      <c r="V638" s="81"/>
      <c r="AA638" s="2"/>
    </row>
    <row r="639" ht="12.75" customHeight="1">
      <c r="A639" s="1"/>
      <c r="B639" s="1"/>
      <c r="L639" s="72"/>
      <c r="S639" s="72"/>
      <c r="T639" s="72"/>
      <c r="U639" s="81"/>
      <c r="V639" s="81"/>
      <c r="AA639" s="2"/>
    </row>
    <row r="640" ht="12.75" customHeight="1">
      <c r="A640" s="1"/>
      <c r="B640" s="1"/>
      <c r="L640" s="72"/>
      <c r="S640" s="72"/>
      <c r="T640" s="72"/>
      <c r="U640" s="81"/>
      <c r="V640" s="81"/>
      <c r="AA640" s="2"/>
    </row>
    <row r="641" ht="12.75" customHeight="1">
      <c r="A641" s="1"/>
      <c r="B641" s="1"/>
      <c r="L641" s="72"/>
      <c r="S641" s="72"/>
      <c r="T641" s="72"/>
      <c r="U641" s="81"/>
      <c r="V641" s="81"/>
      <c r="AA641" s="2"/>
    </row>
    <row r="642" ht="12.75" customHeight="1">
      <c r="A642" s="1"/>
      <c r="B642" s="1"/>
      <c r="L642" s="72"/>
      <c r="S642" s="72"/>
      <c r="T642" s="72"/>
      <c r="U642" s="81"/>
      <c r="V642" s="81"/>
      <c r="AA642" s="2"/>
    </row>
    <row r="643" ht="12.75" customHeight="1">
      <c r="A643" s="1"/>
      <c r="B643" s="1"/>
      <c r="L643" s="72"/>
      <c r="S643" s="72"/>
      <c r="T643" s="72"/>
      <c r="U643" s="81"/>
      <c r="V643" s="81"/>
      <c r="AA643" s="2"/>
    </row>
    <row r="644" ht="12.75" customHeight="1">
      <c r="A644" s="1"/>
      <c r="B644" s="1"/>
      <c r="L644" s="72"/>
      <c r="S644" s="72"/>
      <c r="T644" s="72"/>
      <c r="U644" s="81"/>
      <c r="V644" s="81"/>
      <c r="AA644" s="2"/>
    </row>
    <row r="645" ht="12.75" customHeight="1">
      <c r="A645" s="1"/>
      <c r="B645" s="1"/>
      <c r="L645" s="72"/>
      <c r="S645" s="72"/>
      <c r="T645" s="72"/>
      <c r="U645" s="81"/>
      <c r="V645" s="81"/>
      <c r="AA645" s="2"/>
    </row>
    <row r="646" ht="12.75" customHeight="1">
      <c r="A646" s="1"/>
      <c r="B646" s="1"/>
      <c r="L646" s="72"/>
      <c r="S646" s="72"/>
      <c r="T646" s="72"/>
      <c r="U646" s="81"/>
      <c r="V646" s="81"/>
      <c r="AA646" s="2"/>
    </row>
    <row r="647" ht="12.75" customHeight="1">
      <c r="A647" s="1"/>
      <c r="B647" s="1"/>
      <c r="L647" s="72"/>
      <c r="S647" s="72"/>
      <c r="T647" s="72"/>
      <c r="U647" s="81"/>
      <c r="V647" s="81"/>
      <c r="AA647" s="2"/>
    </row>
    <row r="648" ht="12.75" customHeight="1">
      <c r="A648" s="1"/>
      <c r="B648" s="1"/>
      <c r="L648" s="72"/>
      <c r="S648" s="72"/>
      <c r="T648" s="72"/>
      <c r="U648" s="81"/>
      <c r="V648" s="81"/>
      <c r="AA648" s="2"/>
    </row>
    <row r="649" ht="12.75" customHeight="1">
      <c r="A649" s="1"/>
      <c r="B649" s="1"/>
      <c r="L649" s="72"/>
      <c r="S649" s="72"/>
      <c r="T649" s="72"/>
      <c r="U649" s="81"/>
      <c r="V649" s="81"/>
      <c r="AA649" s="2"/>
    </row>
    <row r="650" ht="12.75" customHeight="1">
      <c r="A650" s="1"/>
      <c r="B650" s="1"/>
      <c r="L650" s="72"/>
      <c r="S650" s="72"/>
      <c r="T650" s="72"/>
      <c r="U650" s="81"/>
      <c r="V650" s="81"/>
      <c r="AA650" s="2"/>
    </row>
    <row r="651" ht="12.75" customHeight="1">
      <c r="A651" s="1"/>
      <c r="B651" s="1"/>
      <c r="L651" s="72"/>
      <c r="S651" s="72"/>
      <c r="T651" s="72"/>
      <c r="U651" s="81"/>
      <c r="V651" s="81"/>
      <c r="AA651" s="2"/>
    </row>
    <row r="652" ht="12.75" customHeight="1">
      <c r="A652" s="1"/>
      <c r="B652" s="1"/>
      <c r="L652" s="72"/>
      <c r="S652" s="72"/>
      <c r="T652" s="72"/>
      <c r="U652" s="81"/>
      <c r="V652" s="81"/>
      <c r="AA652" s="2"/>
    </row>
    <row r="653" ht="12.75" customHeight="1">
      <c r="A653" s="1"/>
      <c r="B653" s="1"/>
      <c r="L653" s="72"/>
      <c r="S653" s="72"/>
      <c r="T653" s="72"/>
      <c r="U653" s="81"/>
      <c r="V653" s="81"/>
      <c r="AA653" s="2"/>
    </row>
    <row r="654" ht="12.75" customHeight="1">
      <c r="A654" s="1"/>
      <c r="B654" s="1"/>
      <c r="L654" s="72"/>
      <c r="S654" s="72"/>
      <c r="T654" s="72"/>
      <c r="U654" s="81"/>
      <c r="V654" s="81"/>
      <c r="AA654" s="2"/>
    </row>
    <row r="655" ht="12.75" customHeight="1">
      <c r="A655" s="1"/>
      <c r="B655" s="1"/>
      <c r="L655" s="72"/>
      <c r="S655" s="72"/>
      <c r="T655" s="72"/>
      <c r="U655" s="81"/>
      <c r="V655" s="81"/>
      <c r="AA655" s="2"/>
    </row>
    <row r="656" ht="12.75" customHeight="1">
      <c r="A656" s="1"/>
      <c r="B656" s="1"/>
      <c r="L656" s="72"/>
      <c r="S656" s="72"/>
      <c r="T656" s="72"/>
      <c r="U656" s="81"/>
      <c r="V656" s="81"/>
      <c r="AA656" s="2"/>
    </row>
    <row r="657" ht="12.75" customHeight="1">
      <c r="A657" s="1"/>
      <c r="B657" s="1"/>
      <c r="L657" s="72"/>
      <c r="S657" s="72"/>
      <c r="T657" s="72"/>
      <c r="U657" s="81"/>
      <c r="V657" s="81"/>
      <c r="AA657" s="2"/>
    </row>
    <row r="658" ht="12.75" customHeight="1">
      <c r="A658" s="1"/>
      <c r="B658" s="1"/>
      <c r="L658" s="72"/>
      <c r="S658" s="72"/>
      <c r="T658" s="72"/>
      <c r="U658" s="81"/>
      <c r="V658" s="81"/>
      <c r="AA658" s="2"/>
    </row>
    <row r="659" ht="12.75" customHeight="1">
      <c r="A659" s="1"/>
      <c r="B659" s="1"/>
      <c r="L659" s="72"/>
      <c r="S659" s="72"/>
      <c r="T659" s="72"/>
      <c r="U659" s="81"/>
      <c r="V659" s="81"/>
      <c r="AA659" s="2"/>
    </row>
    <row r="660" ht="12.75" customHeight="1">
      <c r="A660" s="1"/>
      <c r="B660" s="1"/>
      <c r="L660" s="72"/>
      <c r="S660" s="72"/>
      <c r="T660" s="72"/>
      <c r="U660" s="81"/>
      <c r="V660" s="81"/>
      <c r="AA660" s="2"/>
    </row>
    <row r="661" ht="12.75" customHeight="1">
      <c r="A661" s="1"/>
      <c r="B661" s="1"/>
      <c r="L661" s="72"/>
      <c r="S661" s="72"/>
      <c r="T661" s="72"/>
      <c r="U661" s="81"/>
      <c r="V661" s="81"/>
      <c r="AA661" s="2"/>
    </row>
    <row r="662" ht="12.75" customHeight="1">
      <c r="A662" s="1"/>
      <c r="B662" s="1"/>
      <c r="L662" s="72"/>
      <c r="S662" s="72"/>
      <c r="T662" s="72"/>
      <c r="U662" s="81"/>
      <c r="V662" s="81"/>
      <c r="AA662" s="2"/>
    </row>
    <row r="663" ht="12.75" customHeight="1">
      <c r="A663" s="1"/>
      <c r="B663" s="1"/>
      <c r="L663" s="72"/>
      <c r="S663" s="72"/>
      <c r="T663" s="72"/>
      <c r="U663" s="81"/>
      <c r="V663" s="81"/>
      <c r="AA663" s="2"/>
    </row>
    <row r="664" ht="12.75" customHeight="1">
      <c r="A664" s="1"/>
      <c r="B664" s="1"/>
      <c r="L664" s="72"/>
      <c r="S664" s="72"/>
      <c r="T664" s="72"/>
      <c r="U664" s="81"/>
      <c r="V664" s="81"/>
      <c r="AA664" s="2"/>
    </row>
    <row r="665" ht="12.75" customHeight="1">
      <c r="A665" s="1"/>
      <c r="B665" s="1"/>
      <c r="L665" s="72"/>
      <c r="S665" s="72"/>
      <c r="T665" s="72"/>
      <c r="U665" s="81"/>
      <c r="V665" s="81"/>
      <c r="AA665" s="2"/>
    </row>
    <row r="666" ht="12.75" customHeight="1">
      <c r="A666" s="1"/>
      <c r="B666" s="1"/>
      <c r="L666" s="72"/>
      <c r="S666" s="72"/>
      <c r="T666" s="72"/>
      <c r="U666" s="81"/>
      <c r="V666" s="81"/>
      <c r="AA666" s="2"/>
    </row>
    <row r="667" ht="12.75" customHeight="1">
      <c r="A667" s="1"/>
      <c r="B667" s="1"/>
      <c r="L667" s="72"/>
      <c r="S667" s="72"/>
      <c r="T667" s="72"/>
      <c r="U667" s="81"/>
      <c r="V667" s="81"/>
      <c r="AA667" s="2"/>
    </row>
    <row r="668" ht="12.75" customHeight="1">
      <c r="A668" s="1"/>
      <c r="B668" s="1"/>
      <c r="L668" s="72"/>
      <c r="S668" s="72"/>
      <c r="T668" s="72"/>
      <c r="U668" s="81"/>
      <c r="V668" s="81"/>
      <c r="AA668" s="2"/>
    </row>
    <row r="669" ht="12.75" customHeight="1">
      <c r="A669" s="1"/>
      <c r="B669" s="1"/>
      <c r="L669" s="72"/>
      <c r="S669" s="72"/>
      <c r="T669" s="72"/>
      <c r="U669" s="81"/>
      <c r="V669" s="81"/>
      <c r="AA669" s="2"/>
    </row>
    <row r="670" ht="12.75" customHeight="1">
      <c r="A670" s="1"/>
      <c r="B670" s="1"/>
      <c r="L670" s="72"/>
      <c r="S670" s="72"/>
      <c r="T670" s="72"/>
      <c r="U670" s="81"/>
      <c r="V670" s="81"/>
      <c r="AA670" s="2"/>
    </row>
    <row r="671" ht="12.75" customHeight="1">
      <c r="A671" s="1"/>
      <c r="B671" s="1"/>
      <c r="L671" s="72"/>
      <c r="S671" s="72"/>
      <c r="T671" s="72"/>
      <c r="U671" s="81"/>
      <c r="V671" s="81"/>
      <c r="AA671" s="2"/>
    </row>
    <row r="672" ht="12.75" customHeight="1">
      <c r="A672" s="1"/>
      <c r="B672" s="1"/>
      <c r="L672" s="72"/>
      <c r="S672" s="72"/>
      <c r="T672" s="72"/>
      <c r="U672" s="81"/>
      <c r="V672" s="81"/>
      <c r="AA672" s="2"/>
    </row>
    <row r="673" ht="12.75" customHeight="1">
      <c r="A673" s="1"/>
      <c r="B673" s="1"/>
      <c r="L673" s="72"/>
      <c r="S673" s="72"/>
      <c r="T673" s="72"/>
      <c r="U673" s="81"/>
      <c r="V673" s="81"/>
      <c r="AA673" s="2"/>
    </row>
    <row r="674" ht="12.75" customHeight="1">
      <c r="A674" s="1"/>
      <c r="B674" s="1"/>
      <c r="L674" s="72"/>
      <c r="S674" s="72"/>
      <c r="T674" s="72"/>
      <c r="U674" s="81"/>
      <c r="V674" s="81"/>
      <c r="AA674" s="2"/>
    </row>
    <row r="675" ht="12.75" customHeight="1">
      <c r="A675" s="1"/>
      <c r="B675" s="1"/>
      <c r="L675" s="72"/>
      <c r="S675" s="72"/>
      <c r="T675" s="72"/>
      <c r="U675" s="81"/>
      <c r="V675" s="81"/>
      <c r="AA675" s="2"/>
    </row>
    <row r="676" ht="12.75" customHeight="1">
      <c r="A676" s="1"/>
      <c r="B676" s="1"/>
      <c r="L676" s="72"/>
      <c r="S676" s="72"/>
      <c r="T676" s="72"/>
      <c r="U676" s="81"/>
      <c r="V676" s="81"/>
      <c r="AA676" s="2"/>
    </row>
    <row r="677" ht="12.75" customHeight="1">
      <c r="A677" s="1"/>
      <c r="B677" s="1"/>
      <c r="L677" s="72"/>
      <c r="S677" s="72"/>
      <c r="T677" s="72"/>
      <c r="U677" s="81"/>
      <c r="V677" s="81"/>
      <c r="AA677" s="2"/>
    </row>
    <row r="678" ht="12.75" customHeight="1">
      <c r="A678" s="1"/>
      <c r="B678" s="1"/>
      <c r="L678" s="72"/>
      <c r="S678" s="72"/>
      <c r="T678" s="72"/>
      <c r="U678" s="81"/>
      <c r="V678" s="81"/>
      <c r="AA678" s="2"/>
    </row>
    <row r="679" ht="12.75" customHeight="1">
      <c r="A679" s="1"/>
      <c r="B679" s="1"/>
      <c r="L679" s="72"/>
      <c r="S679" s="72"/>
      <c r="T679" s="72"/>
      <c r="U679" s="81"/>
      <c r="V679" s="81"/>
      <c r="AA679" s="2"/>
    </row>
    <row r="680" ht="12.75" customHeight="1">
      <c r="A680" s="1"/>
      <c r="B680" s="1"/>
      <c r="L680" s="72"/>
      <c r="S680" s="72"/>
      <c r="T680" s="72"/>
      <c r="U680" s="81"/>
      <c r="V680" s="81"/>
      <c r="AA680" s="2"/>
    </row>
    <row r="681" ht="12.75" customHeight="1">
      <c r="A681" s="1"/>
      <c r="B681" s="1"/>
      <c r="L681" s="72"/>
      <c r="S681" s="72"/>
      <c r="T681" s="72"/>
      <c r="U681" s="81"/>
      <c r="V681" s="81"/>
      <c r="AA681" s="2"/>
    </row>
    <row r="682" ht="12.75" customHeight="1">
      <c r="A682" s="1"/>
      <c r="B682" s="1"/>
      <c r="L682" s="72"/>
      <c r="S682" s="72"/>
      <c r="T682" s="72"/>
      <c r="U682" s="81"/>
      <c r="V682" s="81"/>
      <c r="AA682" s="2"/>
    </row>
    <row r="683" ht="12.75" customHeight="1">
      <c r="A683" s="1"/>
      <c r="B683" s="1"/>
      <c r="L683" s="72"/>
      <c r="S683" s="72"/>
      <c r="T683" s="72"/>
      <c r="U683" s="81"/>
      <c r="V683" s="81"/>
      <c r="AA683" s="2"/>
    </row>
    <row r="684" ht="12.75" customHeight="1">
      <c r="A684" s="1"/>
      <c r="B684" s="1"/>
      <c r="L684" s="72"/>
      <c r="S684" s="72"/>
      <c r="T684" s="72"/>
      <c r="U684" s="81"/>
      <c r="V684" s="81"/>
      <c r="AA684" s="2"/>
    </row>
    <row r="685" ht="12.75" customHeight="1">
      <c r="A685" s="1"/>
      <c r="B685" s="1"/>
      <c r="L685" s="72"/>
      <c r="S685" s="72"/>
      <c r="T685" s="72"/>
      <c r="U685" s="81"/>
      <c r="V685" s="81"/>
      <c r="AA685" s="2"/>
    </row>
    <row r="686" ht="12.75" customHeight="1">
      <c r="A686" s="1"/>
      <c r="B686" s="1"/>
      <c r="L686" s="72"/>
      <c r="S686" s="72"/>
      <c r="T686" s="72"/>
      <c r="U686" s="81"/>
      <c r="V686" s="81"/>
      <c r="AA686" s="2"/>
    </row>
    <row r="687" ht="12.75" customHeight="1">
      <c r="A687" s="1"/>
      <c r="B687" s="1"/>
      <c r="L687" s="72"/>
      <c r="S687" s="72"/>
      <c r="T687" s="72"/>
      <c r="U687" s="81"/>
      <c r="V687" s="81"/>
      <c r="AA687" s="2"/>
    </row>
    <row r="688" ht="12.75" customHeight="1">
      <c r="A688" s="1"/>
      <c r="B688" s="1"/>
      <c r="L688" s="72"/>
      <c r="S688" s="72"/>
      <c r="T688" s="72"/>
      <c r="U688" s="81"/>
      <c r="V688" s="81"/>
      <c r="AA688" s="2"/>
    </row>
    <row r="689" ht="12.75" customHeight="1">
      <c r="A689" s="1"/>
      <c r="B689" s="1"/>
      <c r="L689" s="72"/>
      <c r="S689" s="72"/>
      <c r="T689" s="72"/>
      <c r="U689" s="81"/>
      <c r="V689" s="81"/>
      <c r="AA689" s="2"/>
    </row>
    <row r="690" ht="12.75" customHeight="1">
      <c r="A690" s="1"/>
      <c r="B690" s="1"/>
      <c r="L690" s="72"/>
      <c r="S690" s="72"/>
      <c r="T690" s="72"/>
      <c r="U690" s="81"/>
      <c r="V690" s="81"/>
      <c r="AA690" s="2"/>
    </row>
    <row r="691" ht="12.75" customHeight="1">
      <c r="A691" s="1"/>
      <c r="B691" s="1"/>
      <c r="L691" s="72"/>
      <c r="S691" s="72"/>
      <c r="T691" s="72"/>
      <c r="U691" s="81"/>
      <c r="V691" s="81"/>
      <c r="AA691" s="2"/>
    </row>
    <row r="692" ht="12.75" customHeight="1">
      <c r="A692" s="1"/>
      <c r="B692" s="1"/>
      <c r="L692" s="72"/>
      <c r="S692" s="72"/>
      <c r="T692" s="72"/>
      <c r="U692" s="81"/>
      <c r="V692" s="81"/>
      <c r="AA692" s="2"/>
    </row>
    <row r="693" ht="12.75" customHeight="1">
      <c r="A693" s="1"/>
      <c r="B693" s="1"/>
      <c r="L693" s="72"/>
      <c r="S693" s="72"/>
      <c r="T693" s="72"/>
      <c r="U693" s="81"/>
      <c r="V693" s="81"/>
      <c r="AA693" s="2"/>
    </row>
    <row r="694" ht="12.75" customHeight="1">
      <c r="A694" s="1"/>
      <c r="B694" s="1"/>
      <c r="L694" s="72"/>
      <c r="S694" s="72"/>
      <c r="T694" s="72"/>
      <c r="U694" s="81"/>
      <c r="V694" s="81"/>
      <c r="AA694" s="2"/>
    </row>
    <row r="695" ht="12.75" customHeight="1">
      <c r="A695" s="1"/>
      <c r="B695" s="1"/>
      <c r="L695" s="72"/>
      <c r="S695" s="72"/>
      <c r="T695" s="72"/>
      <c r="U695" s="81"/>
      <c r="V695" s="81"/>
      <c r="AA695" s="2"/>
    </row>
    <row r="696" ht="12.75" customHeight="1">
      <c r="A696" s="1"/>
      <c r="B696" s="1"/>
      <c r="L696" s="72"/>
      <c r="S696" s="72"/>
      <c r="T696" s="72"/>
      <c r="U696" s="81"/>
      <c r="V696" s="81"/>
      <c r="AA696" s="2"/>
    </row>
    <row r="697" ht="12.75" customHeight="1">
      <c r="A697" s="1"/>
      <c r="B697" s="1"/>
      <c r="L697" s="72"/>
      <c r="S697" s="72"/>
      <c r="T697" s="72"/>
      <c r="U697" s="81"/>
      <c r="V697" s="81"/>
      <c r="AA697" s="2"/>
    </row>
    <row r="698" ht="12.75" customHeight="1">
      <c r="A698" s="1"/>
      <c r="B698" s="1"/>
      <c r="L698" s="72"/>
      <c r="S698" s="72"/>
      <c r="T698" s="72"/>
      <c r="U698" s="81"/>
      <c r="V698" s="81"/>
      <c r="AA698" s="2"/>
    </row>
    <row r="699" ht="12.75" customHeight="1">
      <c r="A699" s="1"/>
      <c r="B699" s="1"/>
      <c r="L699" s="72"/>
      <c r="S699" s="72"/>
      <c r="T699" s="72"/>
      <c r="U699" s="81"/>
      <c r="V699" s="81"/>
      <c r="AA699" s="2"/>
    </row>
    <row r="700" ht="12.75" customHeight="1">
      <c r="A700" s="1"/>
      <c r="B700" s="1"/>
      <c r="L700" s="72"/>
      <c r="S700" s="72"/>
      <c r="T700" s="72"/>
      <c r="U700" s="81"/>
      <c r="V700" s="81"/>
      <c r="AA700" s="2"/>
    </row>
    <row r="701" ht="12.75" customHeight="1">
      <c r="A701" s="1"/>
      <c r="B701" s="1"/>
      <c r="L701" s="72"/>
      <c r="S701" s="72"/>
      <c r="T701" s="72"/>
      <c r="U701" s="81"/>
      <c r="V701" s="81"/>
      <c r="AA701" s="2"/>
    </row>
    <row r="702" ht="12.75" customHeight="1">
      <c r="A702" s="1"/>
      <c r="B702" s="1"/>
      <c r="L702" s="72"/>
      <c r="S702" s="72"/>
      <c r="T702" s="72"/>
      <c r="U702" s="81"/>
      <c r="V702" s="81"/>
      <c r="AA702" s="2"/>
    </row>
    <row r="703" ht="12.75" customHeight="1">
      <c r="A703" s="1"/>
      <c r="B703" s="1"/>
      <c r="L703" s="72"/>
      <c r="S703" s="72"/>
      <c r="T703" s="72"/>
      <c r="U703" s="81"/>
      <c r="V703" s="81"/>
      <c r="AA703" s="2"/>
    </row>
    <row r="704" ht="12.75" customHeight="1">
      <c r="A704" s="1"/>
      <c r="B704" s="1"/>
      <c r="L704" s="72"/>
      <c r="S704" s="72"/>
      <c r="T704" s="72"/>
      <c r="U704" s="81"/>
      <c r="V704" s="81"/>
      <c r="AA704" s="2"/>
    </row>
    <row r="705" ht="12.75" customHeight="1">
      <c r="A705" s="1"/>
      <c r="B705" s="1"/>
      <c r="L705" s="72"/>
      <c r="S705" s="72"/>
      <c r="T705" s="72"/>
      <c r="U705" s="81"/>
      <c r="V705" s="81"/>
      <c r="AA705" s="2"/>
    </row>
    <row r="706" ht="12.75" customHeight="1">
      <c r="A706" s="1"/>
      <c r="B706" s="1"/>
      <c r="L706" s="72"/>
      <c r="S706" s="72"/>
      <c r="T706" s="72"/>
      <c r="U706" s="81"/>
      <c r="V706" s="81"/>
      <c r="AA706" s="2"/>
    </row>
    <row r="707" ht="12.75" customHeight="1">
      <c r="A707" s="1"/>
      <c r="B707" s="1"/>
      <c r="L707" s="72"/>
      <c r="S707" s="72"/>
      <c r="T707" s="72"/>
      <c r="U707" s="81"/>
      <c r="V707" s="81"/>
      <c r="AA707" s="2"/>
    </row>
    <row r="708" ht="12.75" customHeight="1">
      <c r="A708" s="1"/>
      <c r="B708" s="1"/>
      <c r="L708" s="72"/>
      <c r="S708" s="72"/>
      <c r="T708" s="72"/>
      <c r="U708" s="81"/>
      <c r="V708" s="81"/>
      <c r="AA708" s="2"/>
    </row>
    <row r="709" ht="12.75" customHeight="1">
      <c r="A709" s="1"/>
      <c r="B709" s="1"/>
      <c r="L709" s="72"/>
      <c r="S709" s="72"/>
      <c r="T709" s="72"/>
      <c r="U709" s="81"/>
      <c r="V709" s="81"/>
      <c r="AA709" s="2"/>
    </row>
    <row r="710" ht="12.75" customHeight="1">
      <c r="A710" s="1"/>
      <c r="B710" s="1"/>
      <c r="L710" s="72"/>
      <c r="S710" s="72"/>
      <c r="T710" s="72"/>
      <c r="U710" s="81"/>
      <c r="V710" s="81"/>
      <c r="AA710" s="2"/>
    </row>
    <row r="711" ht="12.75" customHeight="1">
      <c r="A711" s="1"/>
      <c r="B711" s="1"/>
      <c r="L711" s="72"/>
      <c r="S711" s="72"/>
      <c r="T711" s="72"/>
      <c r="U711" s="81"/>
      <c r="V711" s="81"/>
      <c r="AA711" s="2"/>
    </row>
    <row r="712" ht="12.75" customHeight="1">
      <c r="A712" s="1"/>
      <c r="B712" s="1"/>
      <c r="L712" s="72"/>
      <c r="S712" s="72"/>
      <c r="T712" s="72"/>
      <c r="U712" s="81"/>
      <c r="V712" s="81"/>
      <c r="AA712" s="2"/>
    </row>
    <row r="713" ht="12.75" customHeight="1">
      <c r="A713" s="1"/>
      <c r="B713" s="1"/>
      <c r="L713" s="72"/>
      <c r="S713" s="72"/>
      <c r="T713" s="72"/>
      <c r="U713" s="81"/>
      <c r="V713" s="81"/>
      <c r="AA713" s="2"/>
    </row>
    <row r="714" ht="12.75" customHeight="1">
      <c r="A714" s="1"/>
      <c r="B714" s="1"/>
      <c r="L714" s="72"/>
      <c r="S714" s="72"/>
      <c r="T714" s="72"/>
      <c r="U714" s="81"/>
      <c r="V714" s="81"/>
      <c r="AA714" s="2"/>
    </row>
    <row r="715" ht="12.75" customHeight="1">
      <c r="A715" s="1"/>
      <c r="B715" s="1"/>
      <c r="L715" s="72"/>
      <c r="S715" s="72"/>
      <c r="T715" s="72"/>
      <c r="U715" s="81"/>
      <c r="V715" s="81"/>
      <c r="AA715" s="2"/>
    </row>
    <row r="716" ht="12.75" customHeight="1">
      <c r="A716" s="1"/>
      <c r="B716" s="1"/>
      <c r="L716" s="72"/>
      <c r="S716" s="72"/>
      <c r="T716" s="72"/>
      <c r="U716" s="81"/>
      <c r="V716" s="81"/>
      <c r="AA716" s="2"/>
    </row>
    <row r="717" ht="12.75" customHeight="1">
      <c r="A717" s="1"/>
      <c r="B717" s="1"/>
      <c r="L717" s="72"/>
      <c r="S717" s="72"/>
      <c r="T717" s="72"/>
      <c r="U717" s="81"/>
      <c r="V717" s="81"/>
      <c r="AA717" s="2"/>
    </row>
    <row r="718" ht="12.75" customHeight="1">
      <c r="A718" s="1"/>
      <c r="B718" s="1"/>
      <c r="L718" s="72"/>
      <c r="S718" s="72"/>
      <c r="T718" s="72"/>
      <c r="U718" s="81"/>
      <c r="V718" s="81"/>
      <c r="AA718" s="2"/>
    </row>
    <row r="719" ht="12.75" customHeight="1">
      <c r="A719" s="1"/>
      <c r="B719" s="1"/>
      <c r="L719" s="72"/>
      <c r="S719" s="72"/>
      <c r="T719" s="72"/>
      <c r="U719" s="81"/>
      <c r="V719" s="81"/>
      <c r="AA719" s="2"/>
    </row>
    <row r="720" ht="12.75" customHeight="1">
      <c r="A720" s="1"/>
      <c r="B720" s="1"/>
      <c r="L720" s="72"/>
      <c r="S720" s="72"/>
      <c r="T720" s="72"/>
      <c r="U720" s="81"/>
      <c r="V720" s="81"/>
      <c r="AA720" s="2"/>
    </row>
    <row r="721" ht="12.75" customHeight="1">
      <c r="A721" s="1"/>
      <c r="B721" s="1"/>
      <c r="L721" s="72"/>
      <c r="S721" s="72"/>
      <c r="T721" s="72"/>
      <c r="U721" s="81"/>
      <c r="V721" s="81"/>
      <c r="AA721" s="2"/>
    </row>
    <row r="722" ht="12.75" customHeight="1">
      <c r="A722" s="1"/>
      <c r="B722" s="1"/>
      <c r="L722" s="72"/>
      <c r="S722" s="72"/>
      <c r="T722" s="72"/>
      <c r="U722" s="81"/>
      <c r="V722" s="81"/>
      <c r="AA722" s="2"/>
    </row>
    <row r="723" ht="12.75" customHeight="1">
      <c r="A723" s="1"/>
      <c r="B723" s="1"/>
      <c r="L723" s="72"/>
      <c r="S723" s="72"/>
      <c r="T723" s="72"/>
      <c r="U723" s="81"/>
      <c r="V723" s="81"/>
      <c r="AA723" s="2"/>
    </row>
    <row r="724" ht="12.75" customHeight="1">
      <c r="A724" s="1"/>
      <c r="B724" s="1"/>
      <c r="L724" s="72"/>
      <c r="S724" s="72"/>
      <c r="T724" s="72"/>
      <c r="U724" s="81"/>
      <c r="V724" s="81"/>
      <c r="AA724" s="2"/>
    </row>
    <row r="725" ht="12.75" customHeight="1">
      <c r="A725" s="1"/>
      <c r="B725" s="1"/>
      <c r="L725" s="72"/>
      <c r="S725" s="72"/>
      <c r="T725" s="72"/>
      <c r="U725" s="81"/>
      <c r="V725" s="81"/>
      <c r="AA725" s="2"/>
    </row>
    <row r="726" ht="12.75" customHeight="1">
      <c r="A726" s="1"/>
      <c r="B726" s="1"/>
      <c r="L726" s="72"/>
      <c r="S726" s="72"/>
      <c r="T726" s="72"/>
      <c r="U726" s="81"/>
      <c r="V726" s="81"/>
      <c r="AA726" s="2"/>
    </row>
    <row r="727" ht="12.75" customHeight="1">
      <c r="A727" s="1"/>
      <c r="B727" s="1"/>
      <c r="L727" s="72"/>
      <c r="S727" s="72"/>
      <c r="T727" s="72"/>
      <c r="U727" s="81"/>
      <c r="V727" s="81"/>
      <c r="AA727" s="2"/>
    </row>
    <row r="728" ht="12.75" customHeight="1">
      <c r="A728" s="1"/>
      <c r="B728" s="1"/>
      <c r="L728" s="72"/>
      <c r="S728" s="72"/>
      <c r="T728" s="72"/>
      <c r="U728" s="81"/>
      <c r="V728" s="81"/>
      <c r="AA728" s="2"/>
    </row>
    <row r="729" ht="12.75" customHeight="1">
      <c r="A729" s="1"/>
      <c r="B729" s="1"/>
      <c r="L729" s="72"/>
      <c r="S729" s="72"/>
      <c r="T729" s="72"/>
      <c r="U729" s="81"/>
      <c r="V729" s="81"/>
      <c r="AA729" s="2"/>
    </row>
    <row r="730" ht="12.75" customHeight="1">
      <c r="A730" s="1"/>
      <c r="B730" s="1"/>
      <c r="L730" s="72"/>
      <c r="S730" s="72"/>
      <c r="T730" s="72"/>
      <c r="U730" s="81"/>
      <c r="V730" s="81"/>
      <c r="AA730" s="2"/>
    </row>
    <row r="731" ht="12.75" customHeight="1">
      <c r="A731" s="1"/>
      <c r="B731" s="1"/>
      <c r="L731" s="72"/>
      <c r="S731" s="72"/>
      <c r="T731" s="72"/>
      <c r="U731" s="81"/>
      <c r="V731" s="81"/>
      <c r="AA731" s="2"/>
    </row>
    <row r="732" ht="12.75" customHeight="1">
      <c r="A732" s="1"/>
      <c r="B732" s="1"/>
      <c r="L732" s="72"/>
      <c r="S732" s="72"/>
      <c r="T732" s="72"/>
      <c r="U732" s="81"/>
      <c r="V732" s="81"/>
      <c r="AA732" s="2"/>
    </row>
    <row r="733" ht="12.75" customHeight="1">
      <c r="A733" s="1"/>
      <c r="B733" s="1"/>
      <c r="L733" s="72"/>
      <c r="S733" s="72"/>
      <c r="T733" s="72"/>
      <c r="U733" s="81"/>
      <c r="V733" s="81"/>
      <c r="AA733" s="2"/>
    </row>
    <row r="734" ht="12.75" customHeight="1">
      <c r="A734" s="1"/>
      <c r="B734" s="1"/>
      <c r="L734" s="72"/>
      <c r="S734" s="72"/>
      <c r="T734" s="72"/>
      <c r="U734" s="81"/>
      <c r="V734" s="81"/>
      <c r="AA734" s="2"/>
    </row>
    <row r="735" ht="12.75" customHeight="1">
      <c r="A735" s="1"/>
      <c r="B735" s="1"/>
      <c r="L735" s="72"/>
      <c r="S735" s="72"/>
      <c r="T735" s="72"/>
      <c r="U735" s="81"/>
      <c r="V735" s="81"/>
      <c r="AA735" s="2"/>
    </row>
    <row r="736" ht="12.75" customHeight="1">
      <c r="A736" s="1"/>
      <c r="B736" s="1"/>
      <c r="L736" s="72"/>
      <c r="S736" s="72"/>
      <c r="T736" s="72"/>
      <c r="U736" s="81"/>
      <c r="V736" s="81"/>
      <c r="AA736" s="2"/>
    </row>
    <row r="737" ht="12.75" customHeight="1">
      <c r="A737" s="1"/>
      <c r="B737" s="1"/>
      <c r="L737" s="72"/>
      <c r="S737" s="72"/>
      <c r="T737" s="72"/>
      <c r="U737" s="81"/>
      <c r="V737" s="81"/>
      <c r="AA737" s="2"/>
    </row>
    <row r="738" ht="12.75" customHeight="1">
      <c r="A738" s="1"/>
      <c r="B738" s="1"/>
      <c r="L738" s="72"/>
      <c r="S738" s="72"/>
      <c r="T738" s="72"/>
      <c r="U738" s="81"/>
      <c r="V738" s="81"/>
      <c r="AA738" s="2"/>
    </row>
    <row r="739" ht="12.75" customHeight="1">
      <c r="A739" s="1"/>
      <c r="B739" s="1"/>
      <c r="L739" s="72"/>
      <c r="S739" s="72"/>
      <c r="T739" s="72"/>
      <c r="U739" s="81"/>
      <c r="V739" s="81"/>
      <c r="AA739" s="2"/>
    </row>
    <row r="740" ht="12.75" customHeight="1">
      <c r="A740" s="1"/>
      <c r="B740" s="1"/>
      <c r="L740" s="72"/>
      <c r="S740" s="72"/>
      <c r="T740" s="72"/>
      <c r="U740" s="81"/>
      <c r="V740" s="81"/>
      <c r="AA740" s="2"/>
    </row>
    <row r="741" ht="12.75" customHeight="1">
      <c r="A741" s="1"/>
      <c r="B741" s="1"/>
      <c r="L741" s="72"/>
      <c r="S741" s="72"/>
      <c r="T741" s="72"/>
      <c r="U741" s="81"/>
      <c r="V741" s="81"/>
      <c r="AA741" s="2"/>
    </row>
    <row r="742" ht="12.75" customHeight="1">
      <c r="A742" s="1"/>
      <c r="B742" s="1"/>
      <c r="L742" s="72"/>
      <c r="S742" s="72"/>
      <c r="T742" s="72"/>
      <c r="U742" s="81"/>
      <c r="V742" s="81"/>
      <c r="AA742" s="2"/>
    </row>
    <row r="743" ht="12.75" customHeight="1">
      <c r="A743" s="1"/>
      <c r="B743" s="1"/>
      <c r="L743" s="72"/>
      <c r="S743" s="72"/>
      <c r="T743" s="72"/>
      <c r="U743" s="81"/>
      <c r="V743" s="81"/>
      <c r="AA743" s="2"/>
    </row>
    <row r="744" ht="12.75" customHeight="1">
      <c r="A744" s="1"/>
      <c r="B744" s="1"/>
      <c r="L744" s="72"/>
      <c r="S744" s="72"/>
      <c r="T744" s="72"/>
      <c r="U744" s="81"/>
      <c r="V744" s="81"/>
      <c r="AA744" s="2"/>
    </row>
    <row r="745" ht="12.75" customHeight="1">
      <c r="A745" s="1"/>
      <c r="B745" s="1"/>
      <c r="L745" s="72"/>
      <c r="S745" s="72"/>
      <c r="T745" s="72"/>
      <c r="U745" s="81"/>
      <c r="V745" s="81"/>
      <c r="AA745" s="2"/>
    </row>
    <row r="746" ht="12.75" customHeight="1">
      <c r="A746" s="1"/>
      <c r="B746" s="1"/>
      <c r="L746" s="72"/>
      <c r="S746" s="72"/>
      <c r="T746" s="72"/>
      <c r="U746" s="81"/>
      <c r="V746" s="81"/>
      <c r="AA746" s="2"/>
    </row>
    <row r="747" ht="12.75" customHeight="1">
      <c r="A747" s="1"/>
      <c r="B747" s="1"/>
      <c r="L747" s="72"/>
      <c r="S747" s="72"/>
      <c r="T747" s="72"/>
      <c r="U747" s="81"/>
      <c r="V747" s="81"/>
      <c r="AA747" s="2"/>
    </row>
    <row r="748" ht="12.75" customHeight="1">
      <c r="A748" s="1"/>
      <c r="B748" s="1"/>
      <c r="L748" s="72"/>
      <c r="S748" s="72"/>
      <c r="T748" s="72"/>
      <c r="U748" s="81"/>
      <c r="V748" s="81"/>
      <c r="AA748" s="2"/>
    </row>
    <row r="749" ht="12.75" customHeight="1">
      <c r="A749" s="1"/>
      <c r="B749" s="1"/>
      <c r="L749" s="72"/>
      <c r="S749" s="72"/>
      <c r="T749" s="72"/>
      <c r="U749" s="81"/>
      <c r="V749" s="81"/>
      <c r="AA749" s="2"/>
    </row>
    <row r="750" ht="12.75" customHeight="1">
      <c r="A750" s="1"/>
      <c r="B750" s="1"/>
      <c r="L750" s="72"/>
      <c r="S750" s="72"/>
      <c r="T750" s="72"/>
      <c r="U750" s="81"/>
      <c r="V750" s="81"/>
      <c r="AA750" s="2"/>
    </row>
    <row r="751" ht="12.75" customHeight="1">
      <c r="A751" s="1"/>
      <c r="B751" s="1"/>
      <c r="L751" s="72"/>
      <c r="S751" s="72"/>
      <c r="T751" s="72"/>
      <c r="U751" s="81"/>
      <c r="V751" s="81"/>
      <c r="AA751" s="2"/>
    </row>
    <row r="752" ht="12.75" customHeight="1">
      <c r="A752" s="1"/>
      <c r="B752" s="1"/>
      <c r="L752" s="72"/>
      <c r="S752" s="72"/>
      <c r="T752" s="72"/>
      <c r="U752" s="81"/>
      <c r="V752" s="81"/>
      <c r="AA752" s="2"/>
    </row>
    <row r="753" ht="12.75" customHeight="1">
      <c r="A753" s="1"/>
      <c r="B753" s="1"/>
      <c r="L753" s="72"/>
      <c r="S753" s="72"/>
      <c r="T753" s="72"/>
      <c r="U753" s="81"/>
      <c r="V753" s="81"/>
      <c r="AA753" s="2"/>
    </row>
    <row r="754" ht="12.75" customHeight="1">
      <c r="A754" s="1"/>
      <c r="B754" s="1"/>
      <c r="L754" s="72"/>
      <c r="S754" s="72"/>
      <c r="T754" s="72"/>
      <c r="U754" s="81"/>
      <c r="V754" s="81"/>
      <c r="AA754" s="2"/>
    </row>
    <row r="755" ht="12.75" customHeight="1">
      <c r="A755" s="1"/>
      <c r="B755" s="1"/>
      <c r="L755" s="72"/>
      <c r="S755" s="72"/>
      <c r="T755" s="72"/>
      <c r="U755" s="81"/>
      <c r="V755" s="81"/>
      <c r="AA755" s="2"/>
    </row>
    <row r="756" ht="12.75" customHeight="1">
      <c r="A756" s="1"/>
      <c r="B756" s="1"/>
      <c r="L756" s="72"/>
      <c r="S756" s="72"/>
      <c r="T756" s="72"/>
      <c r="U756" s="81"/>
      <c r="V756" s="81"/>
      <c r="AA756" s="2"/>
    </row>
    <row r="757" ht="12.75" customHeight="1">
      <c r="A757" s="1"/>
      <c r="B757" s="1"/>
      <c r="L757" s="72"/>
      <c r="S757" s="72"/>
      <c r="T757" s="72"/>
      <c r="U757" s="81"/>
      <c r="V757" s="81"/>
      <c r="AA757" s="2"/>
    </row>
    <row r="758" ht="12.75" customHeight="1">
      <c r="A758" s="1"/>
      <c r="B758" s="1"/>
      <c r="L758" s="72"/>
      <c r="S758" s="72"/>
      <c r="T758" s="72"/>
      <c r="U758" s="81"/>
      <c r="V758" s="81"/>
      <c r="AA758" s="2"/>
    </row>
    <row r="759" ht="12.75" customHeight="1">
      <c r="A759" s="1"/>
      <c r="B759" s="1"/>
      <c r="L759" s="72"/>
      <c r="S759" s="72"/>
      <c r="T759" s="72"/>
      <c r="U759" s="81"/>
      <c r="V759" s="81"/>
      <c r="AA759" s="2"/>
    </row>
    <row r="760" ht="12.75" customHeight="1">
      <c r="A760" s="1"/>
      <c r="B760" s="1"/>
      <c r="L760" s="72"/>
      <c r="S760" s="72"/>
      <c r="T760" s="72"/>
      <c r="U760" s="81"/>
      <c r="V760" s="81"/>
      <c r="AA760" s="2"/>
    </row>
    <row r="761" ht="12.75" customHeight="1">
      <c r="A761" s="1"/>
      <c r="B761" s="1"/>
      <c r="L761" s="72"/>
      <c r="S761" s="72"/>
      <c r="T761" s="72"/>
      <c r="U761" s="81"/>
      <c r="V761" s="81"/>
      <c r="AA761" s="2"/>
    </row>
    <row r="762" ht="12.75" customHeight="1">
      <c r="A762" s="1"/>
      <c r="B762" s="1"/>
      <c r="L762" s="72"/>
      <c r="S762" s="72"/>
      <c r="T762" s="72"/>
      <c r="U762" s="81"/>
      <c r="V762" s="81"/>
      <c r="AA762" s="2"/>
    </row>
    <row r="763" ht="12.75" customHeight="1">
      <c r="A763" s="1"/>
      <c r="B763" s="1"/>
      <c r="L763" s="72"/>
      <c r="S763" s="72"/>
      <c r="T763" s="72"/>
      <c r="U763" s="81"/>
      <c r="V763" s="81"/>
      <c r="AA763" s="2"/>
    </row>
    <row r="764" ht="12.75" customHeight="1">
      <c r="A764" s="1"/>
      <c r="B764" s="1"/>
      <c r="L764" s="72"/>
      <c r="S764" s="72"/>
      <c r="T764" s="72"/>
      <c r="U764" s="81"/>
      <c r="V764" s="81"/>
      <c r="AA764" s="2"/>
    </row>
    <row r="765" ht="12.75" customHeight="1">
      <c r="A765" s="1"/>
      <c r="B765" s="1"/>
      <c r="L765" s="72"/>
      <c r="S765" s="72"/>
      <c r="T765" s="72"/>
      <c r="U765" s="81"/>
      <c r="V765" s="81"/>
      <c r="AA765" s="2"/>
    </row>
    <row r="766" ht="12.75" customHeight="1">
      <c r="A766" s="1"/>
      <c r="B766" s="1"/>
      <c r="L766" s="72"/>
      <c r="S766" s="72"/>
      <c r="T766" s="72"/>
      <c r="U766" s="81"/>
      <c r="V766" s="81"/>
      <c r="AA766" s="2"/>
    </row>
    <row r="767" ht="12.75" customHeight="1">
      <c r="A767" s="1"/>
      <c r="B767" s="1"/>
      <c r="L767" s="72"/>
      <c r="S767" s="72"/>
      <c r="T767" s="72"/>
      <c r="U767" s="81"/>
      <c r="V767" s="81"/>
      <c r="AA767" s="2"/>
    </row>
    <row r="768" ht="12.75" customHeight="1">
      <c r="A768" s="1"/>
      <c r="B768" s="1"/>
      <c r="L768" s="72"/>
      <c r="S768" s="72"/>
      <c r="T768" s="72"/>
      <c r="U768" s="81"/>
      <c r="V768" s="81"/>
      <c r="AA768" s="2"/>
    </row>
    <row r="769" ht="12.75" customHeight="1">
      <c r="A769" s="1"/>
      <c r="B769" s="1"/>
      <c r="L769" s="72"/>
      <c r="S769" s="72"/>
      <c r="T769" s="72"/>
      <c r="U769" s="81"/>
      <c r="V769" s="81"/>
      <c r="AA769" s="2"/>
    </row>
    <row r="770" ht="12.75" customHeight="1">
      <c r="A770" s="1"/>
      <c r="B770" s="1"/>
      <c r="L770" s="72"/>
      <c r="S770" s="72"/>
      <c r="T770" s="72"/>
      <c r="U770" s="81"/>
      <c r="V770" s="81"/>
      <c r="AA770" s="2"/>
    </row>
    <row r="771" ht="12.75" customHeight="1">
      <c r="A771" s="1"/>
      <c r="B771" s="1"/>
      <c r="L771" s="72"/>
      <c r="S771" s="72"/>
      <c r="T771" s="72"/>
      <c r="U771" s="81"/>
      <c r="V771" s="81"/>
      <c r="AA771" s="2"/>
    </row>
    <row r="772" ht="12.75" customHeight="1">
      <c r="A772" s="1"/>
      <c r="B772" s="1"/>
      <c r="L772" s="72"/>
      <c r="S772" s="72"/>
      <c r="T772" s="72"/>
      <c r="U772" s="81"/>
      <c r="V772" s="81"/>
      <c r="AA772" s="2"/>
    </row>
    <row r="773" ht="12.75" customHeight="1">
      <c r="A773" s="1"/>
      <c r="B773" s="1"/>
      <c r="L773" s="72"/>
      <c r="S773" s="72"/>
      <c r="T773" s="72"/>
      <c r="U773" s="81"/>
      <c r="V773" s="81"/>
      <c r="AA773" s="2"/>
    </row>
    <row r="774" ht="12.75" customHeight="1">
      <c r="A774" s="1"/>
      <c r="B774" s="1"/>
      <c r="L774" s="72"/>
      <c r="S774" s="72"/>
      <c r="T774" s="72"/>
      <c r="U774" s="81"/>
      <c r="V774" s="81"/>
      <c r="AA774" s="2"/>
    </row>
    <row r="775" ht="12.75" customHeight="1">
      <c r="A775" s="1"/>
      <c r="B775" s="1"/>
      <c r="L775" s="72"/>
      <c r="S775" s="72"/>
      <c r="T775" s="72"/>
      <c r="U775" s="81"/>
      <c r="V775" s="81"/>
      <c r="AA775" s="2"/>
    </row>
    <row r="776" ht="12.75" customHeight="1">
      <c r="A776" s="1"/>
      <c r="B776" s="1"/>
      <c r="L776" s="72"/>
      <c r="S776" s="72"/>
      <c r="T776" s="72"/>
      <c r="U776" s="81"/>
      <c r="V776" s="81"/>
      <c r="AA776" s="2"/>
    </row>
    <row r="777" ht="12.75" customHeight="1">
      <c r="A777" s="1"/>
      <c r="B777" s="1"/>
      <c r="L777" s="72"/>
      <c r="S777" s="72"/>
      <c r="T777" s="72"/>
      <c r="U777" s="81"/>
      <c r="V777" s="81"/>
      <c r="AA777" s="2"/>
    </row>
    <row r="778" ht="12.75" customHeight="1">
      <c r="A778" s="1"/>
      <c r="B778" s="1"/>
      <c r="L778" s="72"/>
      <c r="S778" s="72"/>
      <c r="T778" s="72"/>
      <c r="U778" s="81"/>
      <c r="V778" s="81"/>
      <c r="AA778" s="2"/>
    </row>
    <row r="779" ht="12.75" customHeight="1">
      <c r="A779" s="1"/>
      <c r="B779" s="1"/>
      <c r="L779" s="72"/>
      <c r="S779" s="72"/>
      <c r="T779" s="72"/>
      <c r="U779" s="81"/>
      <c r="V779" s="81"/>
      <c r="AA779" s="2"/>
    </row>
    <row r="780" ht="12.75" customHeight="1">
      <c r="A780" s="1"/>
      <c r="B780" s="1"/>
      <c r="L780" s="72"/>
      <c r="S780" s="72"/>
      <c r="T780" s="72"/>
      <c r="U780" s="81"/>
      <c r="V780" s="81"/>
      <c r="AA780" s="2"/>
    </row>
    <row r="781" ht="12.75" customHeight="1">
      <c r="A781" s="1"/>
      <c r="B781" s="1"/>
      <c r="L781" s="72"/>
      <c r="S781" s="72"/>
      <c r="T781" s="72"/>
      <c r="U781" s="81"/>
      <c r="V781" s="81"/>
      <c r="AA781" s="2"/>
    </row>
    <row r="782" ht="12.75" customHeight="1">
      <c r="A782" s="1"/>
      <c r="B782" s="1"/>
      <c r="L782" s="72"/>
      <c r="S782" s="72"/>
      <c r="T782" s="72"/>
      <c r="U782" s="81"/>
      <c r="V782" s="81"/>
      <c r="AA782" s="2"/>
    </row>
    <row r="783" ht="12.75" customHeight="1">
      <c r="A783" s="1"/>
      <c r="B783" s="1"/>
      <c r="L783" s="72"/>
      <c r="S783" s="72"/>
      <c r="T783" s="72"/>
      <c r="U783" s="81"/>
      <c r="V783" s="81"/>
      <c r="AA783" s="2"/>
    </row>
    <row r="784" ht="12.75" customHeight="1">
      <c r="A784" s="1"/>
      <c r="B784" s="1"/>
      <c r="L784" s="72"/>
      <c r="S784" s="72"/>
      <c r="T784" s="72"/>
      <c r="U784" s="81"/>
      <c r="V784" s="81"/>
      <c r="AA784" s="2"/>
    </row>
    <row r="785" ht="12.75" customHeight="1">
      <c r="A785" s="1"/>
      <c r="B785" s="1"/>
      <c r="L785" s="72"/>
      <c r="S785" s="72"/>
      <c r="T785" s="72"/>
      <c r="U785" s="81"/>
      <c r="V785" s="81"/>
      <c r="AA785" s="2"/>
    </row>
    <row r="786" ht="12.75" customHeight="1">
      <c r="A786" s="1"/>
      <c r="B786" s="1"/>
      <c r="L786" s="72"/>
      <c r="S786" s="72"/>
      <c r="T786" s="72"/>
      <c r="U786" s="81"/>
      <c r="V786" s="81"/>
      <c r="AA786" s="2"/>
    </row>
    <row r="787" ht="12.75" customHeight="1">
      <c r="A787" s="1"/>
      <c r="B787" s="1"/>
      <c r="L787" s="72"/>
      <c r="S787" s="72"/>
      <c r="T787" s="72"/>
      <c r="U787" s="81"/>
      <c r="V787" s="81"/>
      <c r="AA787" s="2"/>
    </row>
    <row r="788" ht="12.75" customHeight="1">
      <c r="A788" s="1"/>
      <c r="B788" s="1"/>
      <c r="L788" s="72"/>
      <c r="S788" s="72"/>
      <c r="T788" s="72"/>
      <c r="U788" s="81"/>
      <c r="V788" s="81"/>
      <c r="AA788" s="2"/>
    </row>
    <row r="789" ht="12.75" customHeight="1">
      <c r="A789" s="1"/>
      <c r="B789" s="1"/>
      <c r="L789" s="72"/>
      <c r="S789" s="72"/>
      <c r="T789" s="72"/>
      <c r="U789" s="81"/>
      <c r="V789" s="81"/>
      <c r="AA789" s="2"/>
    </row>
    <row r="790" ht="12.75" customHeight="1">
      <c r="A790" s="1"/>
      <c r="B790" s="1"/>
      <c r="L790" s="72"/>
      <c r="S790" s="72"/>
      <c r="T790" s="72"/>
      <c r="U790" s="81"/>
      <c r="V790" s="81"/>
      <c r="AA790" s="2"/>
    </row>
    <row r="791" ht="12.75" customHeight="1">
      <c r="A791" s="1"/>
      <c r="B791" s="1"/>
      <c r="L791" s="72"/>
      <c r="S791" s="72"/>
      <c r="T791" s="72"/>
      <c r="U791" s="81"/>
      <c r="V791" s="81"/>
      <c r="AA791" s="2"/>
    </row>
    <row r="792" ht="12.75" customHeight="1">
      <c r="A792" s="1"/>
      <c r="B792" s="1"/>
      <c r="L792" s="72"/>
      <c r="S792" s="72"/>
      <c r="T792" s="72"/>
      <c r="U792" s="81"/>
      <c r="V792" s="81"/>
      <c r="AA792" s="2"/>
    </row>
    <row r="793" ht="12.75" customHeight="1">
      <c r="A793" s="1"/>
      <c r="B793" s="1"/>
      <c r="L793" s="72"/>
      <c r="S793" s="72"/>
      <c r="T793" s="72"/>
      <c r="U793" s="81"/>
      <c r="V793" s="81"/>
      <c r="AA793" s="2"/>
    </row>
    <row r="794" ht="12.75" customHeight="1">
      <c r="A794" s="1"/>
      <c r="B794" s="1"/>
      <c r="L794" s="72"/>
      <c r="S794" s="72"/>
      <c r="T794" s="72"/>
      <c r="U794" s="81"/>
      <c r="V794" s="81"/>
      <c r="AA794" s="2"/>
    </row>
    <row r="795" ht="12.75" customHeight="1">
      <c r="A795" s="1"/>
      <c r="B795" s="1"/>
      <c r="L795" s="72"/>
      <c r="S795" s="72"/>
      <c r="T795" s="72"/>
      <c r="U795" s="81"/>
      <c r="V795" s="81"/>
      <c r="AA795" s="2"/>
    </row>
    <row r="796" ht="12.75" customHeight="1">
      <c r="A796" s="1"/>
      <c r="B796" s="1"/>
      <c r="L796" s="72"/>
      <c r="S796" s="72"/>
      <c r="T796" s="72"/>
      <c r="U796" s="81"/>
      <c r="V796" s="81"/>
      <c r="AA796" s="2"/>
    </row>
    <row r="797" ht="12.75" customHeight="1">
      <c r="A797" s="1"/>
      <c r="B797" s="1"/>
      <c r="L797" s="72"/>
      <c r="S797" s="72"/>
      <c r="T797" s="72"/>
      <c r="U797" s="81"/>
      <c r="V797" s="81"/>
      <c r="AA797" s="2"/>
    </row>
    <row r="798" ht="12.75" customHeight="1">
      <c r="A798" s="1"/>
      <c r="B798" s="1"/>
      <c r="L798" s="72"/>
      <c r="S798" s="72"/>
      <c r="T798" s="72"/>
      <c r="U798" s="81"/>
      <c r="V798" s="81"/>
      <c r="AA798" s="2"/>
    </row>
    <row r="799" ht="12.75" customHeight="1">
      <c r="A799" s="1"/>
      <c r="B799" s="1"/>
      <c r="L799" s="72"/>
      <c r="S799" s="72"/>
      <c r="T799" s="72"/>
      <c r="U799" s="81"/>
      <c r="V799" s="81"/>
      <c r="AA799" s="2"/>
    </row>
    <row r="800" ht="12.75" customHeight="1">
      <c r="A800" s="1"/>
      <c r="B800" s="1"/>
      <c r="L800" s="72"/>
      <c r="S800" s="72"/>
      <c r="T800" s="72"/>
      <c r="U800" s="81"/>
      <c r="V800" s="81"/>
      <c r="AA800" s="2"/>
    </row>
    <row r="801" ht="12.75" customHeight="1">
      <c r="A801" s="1"/>
      <c r="B801" s="1"/>
      <c r="L801" s="72"/>
      <c r="S801" s="72"/>
      <c r="T801" s="72"/>
      <c r="U801" s="81"/>
      <c r="V801" s="81"/>
      <c r="AA801" s="2"/>
    </row>
    <row r="802" ht="12.75" customHeight="1">
      <c r="A802" s="1"/>
      <c r="B802" s="1"/>
      <c r="L802" s="72"/>
      <c r="S802" s="72"/>
      <c r="T802" s="72"/>
      <c r="U802" s="81"/>
      <c r="V802" s="81"/>
      <c r="AA802" s="2"/>
    </row>
    <row r="803" ht="12.75" customHeight="1">
      <c r="A803" s="1"/>
      <c r="B803" s="1"/>
      <c r="L803" s="72"/>
      <c r="S803" s="72"/>
      <c r="T803" s="72"/>
      <c r="U803" s="81"/>
      <c r="V803" s="81"/>
      <c r="AA803" s="2"/>
    </row>
    <row r="804" ht="12.75" customHeight="1">
      <c r="A804" s="1"/>
      <c r="B804" s="1"/>
      <c r="L804" s="72"/>
      <c r="S804" s="72"/>
      <c r="T804" s="72"/>
      <c r="U804" s="81"/>
      <c r="V804" s="81"/>
      <c r="AA804" s="2"/>
    </row>
    <row r="805" ht="12.75" customHeight="1">
      <c r="A805" s="1"/>
      <c r="B805" s="1"/>
      <c r="L805" s="72"/>
      <c r="S805" s="72"/>
      <c r="T805" s="72"/>
      <c r="U805" s="81"/>
      <c r="V805" s="81"/>
      <c r="AA805" s="2"/>
    </row>
    <row r="806" ht="12.75" customHeight="1">
      <c r="A806" s="1"/>
      <c r="B806" s="1"/>
      <c r="L806" s="72"/>
      <c r="S806" s="72"/>
      <c r="T806" s="72"/>
      <c r="U806" s="81"/>
      <c r="V806" s="81"/>
      <c r="AA806" s="2"/>
    </row>
    <row r="807" ht="12.75" customHeight="1">
      <c r="A807" s="1"/>
      <c r="B807" s="1"/>
      <c r="L807" s="72"/>
      <c r="S807" s="72"/>
      <c r="T807" s="72"/>
      <c r="U807" s="81"/>
      <c r="V807" s="81"/>
      <c r="AA807" s="2"/>
    </row>
    <row r="808" ht="12.75" customHeight="1">
      <c r="A808" s="1"/>
      <c r="B808" s="1"/>
      <c r="L808" s="72"/>
      <c r="S808" s="72"/>
      <c r="T808" s="72"/>
      <c r="U808" s="81"/>
      <c r="V808" s="81"/>
      <c r="AA808" s="2"/>
    </row>
    <row r="809" ht="12.75" customHeight="1">
      <c r="A809" s="1"/>
      <c r="B809" s="1"/>
      <c r="L809" s="72"/>
      <c r="S809" s="72"/>
      <c r="T809" s="72"/>
      <c r="U809" s="81"/>
      <c r="V809" s="81"/>
      <c r="AA809" s="2"/>
    </row>
    <row r="810" ht="12.75" customHeight="1">
      <c r="A810" s="1"/>
      <c r="B810" s="1"/>
      <c r="L810" s="72"/>
      <c r="S810" s="72"/>
      <c r="T810" s="72"/>
      <c r="U810" s="81"/>
      <c r="V810" s="81"/>
      <c r="AA810" s="2"/>
    </row>
    <row r="811" ht="12.75" customHeight="1">
      <c r="A811" s="1"/>
      <c r="B811" s="1"/>
      <c r="L811" s="72"/>
      <c r="S811" s="72"/>
      <c r="T811" s="72"/>
      <c r="U811" s="81"/>
      <c r="V811" s="81"/>
      <c r="AA811" s="2"/>
    </row>
    <row r="812" ht="12.75" customHeight="1">
      <c r="A812" s="1"/>
      <c r="B812" s="1"/>
      <c r="L812" s="72"/>
      <c r="S812" s="72"/>
      <c r="T812" s="72"/>
      <c r="U812" s="81"/>
      <c r="V812" s="81"/>
      <c r="AA812" s="2"/>
    </row>
    <row r="813" ht="12.75" customHeight="1">
      <c r="A813" s="1"/>
      <c r="B813" s="1"/>
      <c r="L813" s="72"/>
      <c r="S813" s="72"/>
      <c r="T813" s="72"/>
      <c r="U813" s="81"/>
      <c r="V813" s="81"/>
      <c r="AA813" s="2"/>
    </row>
    <row r="814" ht="12.75" customHeight="1">
      <c r="A814" s="1"/>
      <c r="B814" s="1"/>
      <c r="L814" s="72"/>
      <c r="S814" s="72"/>
      <c r="T814" s="72"/>
      <c r="U814" s="81"/>
      <c r="V814" s="81"/>
      <c r="AA814" s="2"/>
    </row>
    <row r="815" ht="12.75" customHeight="1">
      <c r="A815" s="1"/>
      <c r="B815" s="1"/>
      <c r="L815" s="72"/>
      <c r="S815" s="72"/>
      <c r="T815" s="72"/>
      <c r="U815" s="81"/>
      <c r="V815" s="81"/>
      <c r="AA815" s="2"/>
    </row>
    <row r="816" ht="12.75" customHeight="1">
      <c r="A816" s="1"/>
      <c r="B816" s="1"/>
      <c r="L816" s="72"/>
      <c r="S816" s="72"/>
      <c r="T816" s="72"/>
      <c r="U816" s="81"/>
      <c r="V816" s="81"/>
      <c r="AA816" s="2"/>
    </row>
    <row r="817" ht="12.75" customHeight="1">
      <c r="A817" s="1"/>
      <c r="B817" s="1"/>
      <c r="L817" s="72"/>
      <c r="S817" s="72"/>
      <c r="T817" s="72"/>
      <c r="U817" s="81"/>
      <c r="V817" s="81"/>
      <c r="AA817" s="2"/>
    </row>
    <row r="818" ht="12.75" customHeight="1">
      <c r="A818" s="1"/>
      <c r="B818" s="1"/>
      <c r="L818" s="72"/>
      <c r="S818" s="72"/>
      <c r="T818" s="72"/>
      <c r="U818" s="81"/>
      <c r="V818" s="81"/>
      <c r="AA818" s="2"/>
    </row>
    <row r="819" ht="12.75" customHeight="1">
      <c r="A819" s="1"/>
      <c r="B819" s="1"/>
      <c r="L819" s="72"/>
      <c r="S819" s="72"/>
      <c r="T819" s="72"/>
      <c r="U819" s="81"/>
      <c r="V819" s="81"/>
      <c r="AA819" s="2"/>
    </row>
    <row r="820" ht="12.75" customHeight="1">
      <c r="A820" s="1"/>
      <c r="B820" s="1"/>
      <c r="L820" s="72"/>
      <c r="S820" s="72"/>
      <c r="T820" s="72"/>
      <c r="U820" s="81"/>
      <c r="V820" s="81"/>
      <c r="AA820" s="2"/>
    </row>
    <row r="821" ht="12.75" customHeight="1">
      <c r="A821" s="1"/>
      <c r="B821" s="1"/>
      <c r="L821" s="72"/>
      <c r="S821" s="72"/>
      <c r="T821" s="72"/>
      <c r="U821" s="81"/>
      <c r="V821" s="81"/>
      <c r="AA821" s="2"/>
    </row>
    <row r="822" ht="12.75" customHeight="1">
      <c r="A822" s="1"/>
      <c r="B822" s="1"/>
      <c r="L822" s="72"/>
      <c r="S822" s="72"/>
      <c r="T822" s="72"/>
      <c r="U822" s="81"/>
      <c r="V822" s="81"/>
      <c r="AA822" s="2"/>
    </row>
    <row r="823" ht="12.75" customHeight="1">
      <c r="A823" s="1"/>
      <c r="B823" s="1"/>
      <c r="L823" s="72"/>
      <c r="S823" s="72"/>
      <c r="T823" s="72"/>
      <c r="U823" s="81"/>
      <c r="V823" s="81"/>
      <c r="AA823" s="2"/>
    </row>
    <row r="824" ht="12.75" customHeight="1">
      <c r="A824" s="1"/>
      <c r="B824" s="1"/>
      <c r="L824" s="72"/>
      <c r="S824" s="72"/>
      <c r="T824" s="72"/>
      <c r="U824" s="81"/>
      <c r="V824" s="81"/>
      <c r="AA824" s="2"/>
    </row>
    <row r="825" ht="12.75" customHeight="1">
      <c r="A825" s="1"/>
      <c r="B825" s="1"/>
      <c r="L825" s="72"/>
      <c r="S825" s="72"/>
      <c r="T825" s="72"/>
      <c r="U825" s="81"/>
      <c r="V825" s="81"/>
      <c r="AA825" s="2"/>
    </row>
    <row r="826" ht="12.75" customHeight="1">
      <c r="A826" s="1"/>
      <c r="B826" s="1"/>
      <c r="L826" s="72"/>
      <c r="S826" s="72"/>
      <c r="T826" s="72"/>
      <c r="U826" s="81"/>
      <c r="V826" s="81"/>
      <c r="AA826" s="2"/>
    </row>
    <row r="827" ht="12.75" customHeight="1">
      <c r="A827" s="1"/>
      <c r="B827" s="1"/>
      <c r="L827" s="72"/>
      <c r="S827" s="72"/>
      <c r="T827" s="72"/>
      <c r="U827" s="81"/>
      <c r="V827" s="81"/>
      <c r="AA827" s="2"/>
    </row>
    <row r="828" ht="12.75" customHeight="1">
      <c r="A828" s="1"/>
      <c r="B828" s="1"/>
      <c r="L828" s="72"/>
      <c r="S828" s="72"/>
      <c r="T828" s="72"/>
      <c r="U828" s="81"/>
      <c r="V828" s="81"/>
      <c r="AA828" s="2"/>
    </row>
    <row r="829" ht="12.75" customHeight="1">
      <c r="A829" s="1"/>
      <c r="B829" s="1"/>
      <c r="L829" s="72"/>
      <c r="S829" s="72"/>
      <c r="T829" s="72"/>
      <c r="U829" s="81"/>
      <c r="V829" s="81"/>
      <c r="AA829" s="2"/>
    </row>
    <row r="830" ht="12.75" customHeight="1">
      <c r="A830" s="1"/>
      <c r="B830" s="1"/>
      <c r="L830" s="72"/>
      <c r="S830" s="72"/>
      <c r="T830" s="72"/>
      <c r="U830" s="81"/>
      <c r="V830" s="81"/>
      <c r="AA830" s="2"/>
    </row>
    <row r="831" ht="12.75" customHeight="1">
      <c r="A831" s="1"/>
      <c r="B831" s="1"/>
      <c r="L831" s="72"/>
      <c r="S831" s="72"/>
      <c r="T831" s="72"/>
      <c r="U831" s="81"/>
      <c r="V831" s="81"/>
      <c r="AA831" s="2"/>
    </row>
    <row r="832" ht="12.75" customHeight="1">
      <c r="A832" s="1"/>
      <c r="B832" s="1"/>
      <c r="L832" s="72"/>
      <c r="S832" s="72"/>
      <c r="T832" s="72"/>
      <c r="U832" s="81"/>
      <c r="V832" s="81"/>
      <c r="AA832" s="2"/>
    </row>
    <row r="833" ht="12.75" customHeight="1">
      <c r="A833" s="1"/>
      <c r="B833" s="1"/>
      <c r="L833" s="72"/>
      <c r="S833" s="72"/>
      <c r="T833" s="72"/>
      <c r="U833" s="81"/>
      <c r="V833" s="81"/>
      <c r="AA833" s="2"/>
    </row>
    <row r="834" ht="12.75" customHeight="1">
      <c r="A834" s="1"/>
      <c r="B834" s="1"/>
      <c r="L834" s="72"/>
      <c r="S834" s="72"/>
      <c r="T834" s="72"/>
      <c r="U834" s="81"/>
      <c r="V834" s="81"/>
      <c r="AA834" s="2"/>
    </row>
    <row r="835" ht="12.75" customHeight="1">
      <c r="A835" s="1"/>
      <c r="B835" s="1"/>
      <c r="L835" s="72"/>
      <c r="S835" s="72"/>
      <c r="T835" s="72"/>
      <c r="U835" s="81"/>
      <c r="V835" s="81"/>
      <c r="AA835" s="2"/>
    </row>
    <row r="836" ht="12.75" customHeight="1">
      <c r="A836" s="1"/>
      <c r="B836" s="1"/>
      <c r="L836" s="72"/>
      <c r="S836" s="72"/>
      <c r="T836" s="72"/>
      <c r="U836" s="81"/>
      <c r="V836" s="81"/>
      <c r="AA836" s="2"/>
    </row>
    <row r="837" ht="12.75" customHeight="1">
      <c r="A837" s="1"/>
      <c r="B837" s="1"/>
      <c r="L837" s="72"/>
      <c r="S837" s="72"/>
      <c r="T837" s="72"/>
      <c r="U837" s="81"/>
      <c r="V837" s="81"/>
      <c r="AA837" s="2"/>
    </row>
    <row r="838" ht="12.75" customHeight="1">
      <c r="A838" s="1"/>
      <c r="B838" s="1"/>
      <c r="L838" s="72"/>
      <c r="S838" s="72"/>
      <c r="T838" s="72"/>
      <c r="U838" s="81"/>
      <c r="V838" s="81"/>
      <c r="AA838" s="2"/>
    </row>
    <row r="839" ht="12.75" customHeight="1">
      <c r="A839" s="1"/>
      <c r="B839" s="1"/>
      <c r="L839" s="72"/>
      <c r="S839" s="72"/>
      <c r="T839" s="72"/>
      <c r="U839" s="81"/>
      <c r="V839" s="81"/>
      <c r="AA839" s="2"/>
    </row>
    <row r="840" ht="12.75" customHeight="1">
      <c r="A840" s="1"/>
      <c r="B840" s="1"/>
      <c r="L840" s="72"/>
      <c r="S840" s="72"/>
      <c r="T840" s="72"/>
      <c r="U840" s="81"/>
      <c r="V840" s="81"/>
      <c r="AA840" s="2"/>
    </row>
    <row r="841" ht="12.75" customHeight="1">
      <c r="A841" s="1"/>
      <c r="B841" s="1"/>
      <c r="L841" s="72"/>
      <c r="S841" s="72"/>
      <c r="T841" s="72"/>
      <c r="U841" s="81"/>
      <c r="V841" s="81"/>
      <c r="AA841" s="2"/>
    </row>
    <row r="842" ht="12.75" customHeight="1">
      <c r="A842" s="1"/>
      <c r="B842" s="1"/>
      <c r="L842" s="72"/>
      <c r="S842" s="72"/>
      <c r="T842" s="72"/>
      <c r="U842" s="81"/>
      <c r="V842" s="81"/>
      <c r="AA842" s="2"/>
    </row>
    <row r="843" ht="12.75" customHeight="1">
      <c r="A843" s="1"/>
      <c r="B843" s="1"/>
      <c r="L843" s="72"/>
      <c r="S843" s="72"/>
      <c r="T843" s="72"/>
      <c r="U843" s="81"/>
      <c r="V843" s="81"/>
      <c r="AA843" s="2"/>
    </row>
    <row r="844" ht="12.75" customHeight="1">
      <c r="A844" s="1"/>
      <c r="B844" s="1"/>
      <c r="L844" s="72"/>
      <c r="S844" s="72"/>
      <c r="T844" s="72"/>
      <c r="U844" s="81"/>
      <c r="V844" s="81"/>
      <c r="AA844" s="2"/>
    </row>
    <row r="845" ht="12.75" customHeight="1">
      <c r="A845" s="1"/>
      <c r="B845" s="1"/>
      <c r="L845" s="72"/>
      <c r="S845" s="72"/>
      <c r="T845" s="72"/>
      <c r="U845" s="81"/>
      <c r="V845" s="81"/>
      <c r="AA845" s="2"/>
    </row>
    <row r="846" ht="12.75" customHeight="1">
      <c r="A846" s="1"/>
      <c r="B846" s="1"/>
      <c r="L846" s="72"/>
      <c r="S846" s="72"/>
      <c r="T846" s="72"/>
      <c r="U846" s="81"/>
      <c r="V846" s="81"/>
      <c r="AA846" s="2"/>
    </row>
    <row r="847" ht="12.75" customHeight="1">
      <c r="A847" s="1"/>
      <c r="B847" s="1"/>
      <c r="L847" s="72"/>
      <c r="S847" s="72"/>
      <c r="T847" s="72"/>
      <c r="U847" s="81"/>
      <c r="V847" s="81"/>
      <c r="AA847" s="2"/>
    </row>
    <row r="848" ht="12.75" customHeight="1">
      <c r="A848" s="1"/>
      <c r="B848" s="1"/>
      <c r="L848" s="72"/>
      <c r="S848" s="72"/>
      <c r="T848" s="72"/>
      <c r="U848" s="81"/>
      <c r="V848" s="81"/>
      <c r="AA848" s="2"/>
    </row>
    <row r="849" ht="12.75" customHeight="1">
      <c r="A849" s="1"/>
      <c r="B849" s="1"/>
      <c r="L849" s="72"/>
      <c r="S849" s="72"/>
      <c r="T849" s="72"/>
      <c r="U849" s="81"/>
      <c r="V849" s="81"/>
      <c r="AA849" s="2"/>
    </row>
    <row r="850" ht="12.75" customHeight="1">
      <c r="A850" s="1"/>
      <c r="B850" s="1"/>
      <c r="L850" s="72"/>
      <c r="S850" s="72"/>
      <c r="T850" s="72"/>
      <c r="U850" s="81"/>
      <c r="V850" s="81"/>
      <c r="AA850" s="2"/>
    </row>
    <row r="851" ht="12.75" customHeight="1">
      <c r="A851" s="1"/>
      <c r="B851" s="1"/>
      <c r="L851" s="72"/>
      <c r="S851" s="72"/>
      <c r="T851" s="72"/>
      <c r="U851" s="81"/>
      <c r="V851" s="81"/>
      <c r="AA851" s="2"/>
    </row>
    <row r="852" ht="12.75" customHeight="1">
      <c r="A852" s="1"/>
      <c r="B852" s="1"/>
      <c r="L852" s="72"/>
      <c r="S852" s="72"/>
      <c r="T852" s="72"/>
      <c r="U852" s="81"/>
      <c r="V852" s="81"/>
      <c r="AA852" s="2"/>
    </row>
    <row r="853" ht="12.75" customHeight="1">
      <c r="A853" s="1"/>
      <c r="B853" s="1"/>
      <c r="L853" s="72"/>
      <c r="S853" s="72"/>
      <c r="T853" s="72"/>
      <c r="U853" s="81"/>
      <c r="V853" s="81"/>
      <c r="AA853" s="2"/>
    </row>
    <row r="854" ht="12.75" customHeight="1">
      <c r="A854" s="1"/>
      <c r="B854" s="1"/>
      <c r="L854" s="72"/>
      <c r="S854" s="72"/>
      <c r="T854" s="72"/>
      <c r="U854" s="81"/>
      <c r="V854" s="81"/>
      <c r="AA854" s="2"/>
    </row>
    <row r="855" ht="12.75" customHeight="1">
      <c r="A855" s="1"/>
      <c r="B855" s="1"/>
      <c r="L855" s="72"/>
      <c r="S855" s="72"/>
      <c r="T855" s="72"/>
      <c r="U855" s="81"/>
      <c r="V855" s="81"/>
      <c r="AA855" s="2"/>
    </row>
    <row r="856" ht="12.75" customHeight="1">
      <c r="A856" s="1"/>
      <c r="B856" s="1"/>
      <c r="L856" s="72"/>
      <c r="S856" s="72"/>
      <c r="T856" s="72"/>
      <c r="U856" s="81"/>
      <c r="V856" s="81"/>
      <c r="AA856" s="2"/>
    </row>
    <row r="857" ht="12.75" customHeight="1">
      <c r="A857" s="1"/>
      <c r="B857" s="1"/>
      <c r="L857" s="72"/>
      <c r="S857" s="72"/>
      <c r="T857" s="72"/>
      <c r="U857" s="81"/>
      <c r="V857" s="81"/>
      <c r="AA857" s="2"/>
    </row>
    <row r="858" ht="12.75" customHeight="1">
      <c r="A858" s="1"/>
      <c r="B858" s="1"/>
      <c r="L858" s="72"/>
      <c r="S858" s="72"/>
      <c r="T858" s="72"/>
      <c r="U858" s="81"/>
      <c r="V858" s="81"/>
      <c r="AA858" s="2"/>
    </row>
    <row r="859" ht="12.75" customHeight="1">
      <c r="A859" s="1"/>
      <c r="B859" s="1"/>
      <c r="L859" s="72"/>
      <c r="S859" s="72"/>
      <c r="T859" s="72"/>
      <c r="U859" s="81"/>
      <c r="V859" s="81"/>
      <c r="AA859" s="2"/>
    </row>
    <row r="860" ht="12.75" customHeight="1">
      <c r="A860" s="1"/>
      <c r="B860" s="1"/>
      <c r="L860" s="72"/>
      <c r="S860" s="72"/>
      <c r="T860" s="72"/>
      <c r="U860" s="81"/>
      <c r="V860" s="81"/>
      <c r="AA860" s="2"/>
    </row>
    <row r="861" ht="12.75" customHeight="1">
      <c r="A861" s="1"/>
      <c r="B861" s="1"/>
      <c r="L861" s="72"/>
      <c r="S861" s="72"/>
      <c r="T861" s="72"/>
      <c r="U861" s="81"/>
      <c r="V861" s="81"/>
      <c r="AA861" s="2"/>
    </row>
    <row r="862" ht="12.75" customHeight="1">
      <c r="A862" s="1"/>
      <c r="B862" s="1"/>
      <c r="L862" s="72"/>
      <c r="S862" s="72"/>
      <c r="T862" s="72"/>
      <c r="U862" s="81"/>
      <c r="V862" s="81"/>
      <c r="AA862" s="2"/>
    </row>
    <row r="863" ht="12.75" customHeight="1">
      <c r="A863" s="1"/>
      <c r="B863" s="1"/>
      <c r="L863" s="72"/>
      <c r="S863" s="72"/>
      <c r="T863" s="72"/>
      <c r="U863" s="81"/>
      <c r="V863" s="81"/>
      <c r="AA863" s="2"/>
    </row>
    <row r="864" ht="12.75" customHeight="1">
      <c r="A864" s="1"/>
      <c r="B864" s="1"/>
      <c r="L864" s="72"/>
      <c r="S864" s="72"/>
      <c r="T864" s="72"/>
      <c r="U864" s="81"/>
      <c r="V864" s="81"/>
      <c r="AA864" s="2"/>
    </row>
    <row r="865" ht="12.75" customHeight="1">
      <c r="A865" s="1"/>
      <c r="B865" s="1"/>
      <c r="L865" s="72"/>
      <c r="S865" s="72"/>
      <c r="T865" s="72"/>
      <c r="U865" s="81"/>
      <c r="V865" s="81"/>
      <c r="AA865" s="2"/>
    </row>
    <row r="866" ht="12.75" customHeight="1">
      <c r="A866" s="1"/>
      <c r="B866" s="1"/>
      <c r="L866" s="72"/>
      <c r="S866" s="72"/>
      <c r="T866" s="72"/>
      <c r="U866" s="81"/>
      <c r="V866" s="81"/>
      <c r="AA866" s="2"/>
    </row>
    <row r="867" ht="12.75" customHeight="1">
      <c r="A867" s="1"/>
      <c r="B867" s="1"/>
      <c r="L867" s="72"/>
      <c r="S867" s="72"/>
      <c r="T867" s="72"/>
      <c r="U867" s="81"/>
      <c r="V867" s="81"/>
      <c r="AA867" s="2"/>
    </row>
    <row r="868" ht="12.75" customHeight="1">
      <c r="A868" s="1"/>
      <c r="B868" s="1"/>
      <c r="L868" s="72"/>
      <c r="S868" s="72"/>
      <c r="T868" s="72"/>
      <c r="U868" s="81"/>
      <c r="V868" s="81"/>
      <c r="AA868" s="2"/>
    </row>
    <row r="869" ht="12.75" customHeight="1">
      <c r="A869" s="1"/>
      <c r="B869" s="1"/>
      <c r="L869" s="72"/>
      <c r="S869" s="72"/>
      <c r="T869" s="72"/>
      <c r="U869" s="81"/>
      <c r="V869" s="81"/>
      <c r="AA869" s="2"/>
    </row>
    <row r="870" ht="12.75" customHeight="1">
      <c r="A870" s="1"/>
      <c r="B870" s="1"/>
      <c r="L870" s="72"/>
      <c r="S870" s="72"/>
      <c r="T870" s="72"/>
      <c r="U870" s="81"/>
      <c r="V870" s="81"/>
      <c r="AA870" s="2"/>
    </row>
    <row r="871" ht="12.75" customHeight="1">
      <c r="A871" s="1"/>
      <c r="B871" s="1"/>
      <c r="L871" s="72"/>
      <c r="S871" s="72"/>
      <c r="T871" s="72"/>
      <c r="U871" s="81"/>
      <c r="V871" s="81"/>
      <c r="AA871" s="2"/>
    </row>
    <row r="872" ht="12.75" customHeight="1">
      <c r="A872" s="1"/>
      <c r="B872" s="1"/>
      <c r="L872" s="72"/>
      <c r="S872" s="72"/>
      <c r="T872" s="72"/>
      <c r="U872" s="81"/>
      <c r="V872" s="81"/>
      <c r="AA872" s="2"/>
    </row>
    <row r="873" ht="12.75" customHeight="1">
      <c r="A873" s="1"/>
      <c r="B873" s="1"/>
      <c r="L873" s="72"/>
      <c r="S873" s="72"/>
      <c r="T873" s="72"/>
      <c r="U873" s="81"/>
      <c r="V873" s="81"/>
      <c r="AA873" s="2"/>
    </row>
    <row r="874" ht="12.75" customHeight="1">
      <c r="A874" s="1"/>
      <c r="B874" s="1"/>
      <c r="L874" s="72"/>
      <c r="S874" s="72"/>
      <c r="T874" s="72"/>
      <c r="U874" s="81"/>
      <c r="V874" s="81"/>
      <c r="AA874" s="2"/>
    </row>
    <row r="875" ht="12.75" customHeight="1">
      <c r="A875" s="1"/>
      <c r="B875" s="1"/>
      <c r="L875" s="72"/>
      <c r="S875" s="72"/>
      <c r="T875" s="72"/>
      <c r="U875" s="81"/>
      <c r="V875" s="81"/>
      <c r="AA875" s="2"/>
    </row>
    <row r="876" ht="12.75" customHeight="1">
      <c r="A876" s="1"/>
      <c r="B876" s="1"/>
      <c r="L876" s="72"/>
      <c r="S876" s="72"/>
      <c r="T876" s="72"/>
      <c r="U876" s="81"/>
      <c r="V876" s="81"/>
      <c r="AA876" s="2"/>
    </row>
    <row r="877" ht="12.75" customHeight="1">
      <c r="A877" s="1"/>
      <c r="B877" s="1"/>
      <c r="L877" s="72"/>
      <c r="S877" s="72"/>
      <c r="T877" s="72"/>
      <c r="U877" s="81"/>
      <c r="V877" s="81"/>
      <c r="AA877" s="2"/>
    </row>
    <row r="878" ht="12.75" customHeight="1">
      <c r="A878" s="1"/>
      <c r="B878" s="1"/>
      <c r="L878" s="72"/>
      <c r="S878" s="72"/>
      <c r="T878" s="72"/>
      <c r="U878" s="81"/>
      <c r="V878" s="81"/>
      <c r="AA878" s="2"/>
    </row>
    <row r="879" ht="12.75" customHeight="1">
      <c r="A879" s="1"/>
      <c r="B879" s="1"/>
      <c r="L879" s="72"/>
      <c r="S879" s="72"/>
      <c r="T879" s="72"/>
      <c r="U879" s="81"/>
      <c r="V879" s="81"/>
      <c r="AA879" s="2"/>
    </row>
    <row r="880" ht="12.75" customHeight="1">
      <c r="A880" s="1"/>
      <c r="B880" s="1"/>
      <c r="L880" s="72"/>
      <c r="S880" s="72"/>
      <c r="T880" s="72"/>
      <c r="U880" s="81"/>
      <c r="V880" s="81"/>
      <c r="AA880" s="2"/>
    </row>
    <row r="881" ht="12.75" customHeight="1">
      <c r="A881" s="1"/>
      <c r="B881" s="1"/>
      <c r="L881" s="72"/>
      <c r="S881" s="72"/>
      <c r="T881" s="72"/>
      <c r="U881" s="81"/>
      <c r="V881" s="81"/>
      <c r="AA881" s="2"/>
    </row>
    <row r="882" ht="12.75" customHeight="1">
      <c r="A882" s="1"/>
      <c r="B882" s="1"/>
      <c r="L882" s="72"/>
      <c r="S882" s="72"/>
      <c r="T882" s="72"/>
      <c r="U882" s="81"/>
      <c r="V882" s="81"/>
      <c r="AA882" s="2"/>
    </row>
    <row r="883" ht="12.75" customHeight="1">
      <c r="A883" s="1"/>
      <c r="B883" s="1"/>
      <c r="L883" s="72"/>
      <c r="S883" s="72"/>
      <c r="T883" s="72"/>
      <c r="U883" s="81"/>
      <c r="V883" s="81"/>
      <c r="AA883" s="2"/>
    </row>
    <row r="884" ht="12.75" customHeight="1">
      <c r="A884" s="1"/>
      <c r="B884" s="1"/>
      <c r="L884" s="72"/>
      <c r="S884" s="72"/>
      <c r="T884" s="72"/>
      <c r="U884" s="81"/>
      <c r="V884" s="81"/>
      <c r="AA884" s="2"/>
    </row>
    <row r="885" ht="12.75" customHeight="1">
      <c r="A885" s="1"/>
      <c r="B885" s="1"/>
      <c r="L885" s="72"/>
      <c r="S885" s="72"/>
      <c r="T885" s="72"/>
      <c r="U885" s="81"/>
      <c r="V885" s="81"/>
      <c r="AA885" s="2"/>
    </row>
    <row r="886" ht="12.75" customHeight="1">
      <c r="A886" s="1"/>
      <c r="B886" s="1"/>
      <c r="L886" s="72"/>
      <c r="S886" s="72"/>
      <c r="T886" s="72"/>
      <c r="U886" s="81"/>
      <c r="V886" s="81"/>
      <c r="AA886" s="2"/>
    </row>
    <row r="887" ht="12.75" customHeight="1">
      <c r="A887" s="1"/>
      <c r="B887" s="1"/>
      <c r="L887" s="72"/>
      <c r="S887" s="72"/>
      <c r="T887" s="72"/>
      <c r="U887" s="81"/>
      <c r="V887" s="81"/>
      <c r="AA887" s="2"/>
    </row>
    <row r="888" ht="12.75" customHeight="1">
      <c r="A888" s="1"/>
      <c r="B888" s="1"/>
      <c r="L888" s="72"/>
      <c r="S888" s="72"/>
      <c r="T888" s="72"/>
      <c r="U888" s="81"/>
      <c r="V888" s="81"/>
      <c r="AA888" s="2"/>
    </row>
    <row r="889" ht="12.75" customHeight="1">
      <c r="A889" s="1"/>
      <c r="B889" s="1"/>
      <c r="L889" s="72"/>
      <c r="S889" s="72"/>
      <c r="T889" s="72"/>
      <c r="U889" s="81"/>
      <c r="V889" s="81"/>
      <c r="AA889" s="2"/>
    </row>
    <row r="890" ht="12.75" customHeight="1">
      <c r="A890" s="1"/>
      <c r="B890" s="1"/>
      <c r="L890" s="72"/>
      <c r="S890" s="72"/>
      <c r="T890" s="72"/>
      <c r="U890" s="81"/>
      <c r="V890" s="81"/>
      <c r="AA890" s="2"/>
    </row>
    <row r="891" ht="12.75" customHeight="1">
      <c r="A891" s="1"/>
      <c r="B891" s="1"/>
      <c r="L891" s="72"/>
      <c r="S891" s="72"/>
      <c r="T891" s="72"/>
      <c r="U891" s="81"/>
      <c r="V891" s="81"/>
      <c r="AA891" s="2"/>
    </row>
    <row r="892" ht="12.75" customHeight="1">
      <c r="A892" s="1"/>
      <c r="B892" s="1"/>
      <c r="L892" s="72"/>
      <c r="S892" s="72"/>
      <c r="T892" s="72"/>
      <c r="U892" s="81"/>
      <c r="V892" s="81"/>
      <c r="AA892" s="2"/>
    </row>
    <row r="893" ht="12.75" customHeight="1">
      <c r="A893" s="1"/>
      <c r="B893" s="1"/>
      <c r="L893" s="72"/>
      <c r="S893" s="72"/>
      <c r="T893" s="72"/>
      <c r="U893" s="81"/>
      <c r="V893" s="81"/>
      <c r="AA893" s="2"/>
    </row>
    <row r="894" ht="12.75" customHeight="1">
      <c r="A894" s="1"/>
      <c r="B894" s="1"/>
      <c r="L894" s="72"/>
      <c r="S894" s="72"/>
      <c r="T894" s="72"/>
      <c r="U894" s="81"/>
      <c r="V894" s="81"/>
      <c r="AA894" s="2"/>
    </row>
    <row r="895" ht="12.75" customHeight="1">
      <c r="A895" s="1"/>
      <c r="B895" s="1"/>
      <c r="L895" s="72"/>
      <c r="S895" s="72"/>
      <c r="T895" s="72"/>
      <c r="U895" s="81"/>
      <c r="V895" s="81"/>
      <c r="AA895" s="2"/>
    </row>
    <row r="896" ht="12.75" customHeight="1">
      <c r="A896" s="1"/>
      <c r="B896" s="1"/>
      <c r="L896" s="72"/>
      <c r="S896" s="72"/>
      <c r="T896" s="72"/>
      <c r="U896" s="81"/>
      <c r="V896" s="81"/>
      <c r="AA896" s="2"/>
    </row>
    <row r="897" ht="12.75" customHeight="1">
      <c r="A897" s="1"/>
      <c r="B897" s="1"/>
      <c r="L897" s="72"/>
      <c r="S897" s="72"/>
      <c r="T897" s="72"/>
      <c r="U897" s="81"/>
      <c r="V897" s="81"/>
      <c r="AA897" s="2"/>
    </row>
    <row r="898" ht="12.75" customHeight="1">
      <c r="A898" s="1"/>
      <c r="B898" s="1"/>
      <c r="L898" s="72"/>
      <c r="S898" s="72"/>
      <c r="T898" s="72"/>
      <c r="U898" s="81"/>
      <c r="V898" s="81"/>
      <c r="AA898" s="2"/>
    </row>
    <row r="899" ht="12.75" customHeight="1">
      <c r="A899" s="1"/>
      <c r="B899" s="1"/>
      <c r="L899" s="72"/>
      <c r="S899" s="72"/>
      <c r="T899" s="72"/>
      <c r="U899" s="81"/>
      <c r="V899" s="81"/>
      <c r="AA899" s="2"/>
    </row>
    <row r="900" ht="12.75" customHeight="1">
      <c r="A900" s="1"/>
      <c r="B900" s="1"/>
      <c r="L900" s="72"/>
      <c r="S900" s="72"/>
      <c r="T900" s="72"/>
      <c r="U900" s="81"/>
      <c r="V900" s="81"/>
      <c r="AA900" s="2"/>
    </row>
    <row r="901" ht="12.75" customHeight="1">
      <c r="A901" s="1"/>
      <c r="B901" s="1"/>
      <c r="L901" s="72"/>
      <c r="S901" s="72"/>
      <c r="T901" s="72"/>
      <c r="U901" s="81"/>
      <c r="V901" s="81"/>
      <c r="AA901" s="2"/>
    </row>
    <row r="902" ht="12.75" customHeight="1">
      <c r="A902" s="1"/>
      <c r="B902" s="1"/>
      <c r="L902" s="72"/>
      <c r="S902" s="72"/>
      <c r="T902" s="72"/>
      <c r="U902" s="81"/>
      <c r="V902" s="81"/>
      <c r="AA902" s="2"/>
    </row>
    <row r="903" ht="12.75" customHeight="1">
      <c r="A903" s="1"/>
      <c r="B903" s="1"/>
      <c r="L903" s="72"/>
      <c r="S903" s="72"/>
      <c r="T903" s="72"/>
      <c r="U903" s="81"/>
      <c r="V903" s="81"/>
      <c r="AA903" s="2"/>
    </row>
    <row r="904" ht="12.75" customHeight="1">
      <c r="A904" s="1"/>
      <c r="B904" s="1"/>
      <c r="L904" s="72"/>
      <c r="S904" s="72"/>
      <c r="T904" s="72"/>
      <c r="U904" s="81"/>
      <c r="V904" s="81"/>
      <c r="AA904" s="2"/>
    </row>
    <row r="905" ht="12.75" customHeight="1">
      <c r="A905" s="1"/>
      <c r="B905" s="1"/>
      <c r="L905" s="72"/>
      <c r="S905" s="72"/>
      <c r="T905" s="72"/>
      <c r="U905" s="81"/>
      <c r="V905" s="81"/>
      <c r="AA905" s="2"/>
    </row>
    <row r="906" ht="12.75" customHeight="1">
      <c r="A906" s="1"/>
      <c r="B906" s="1"/>
      <c r="L906" s="72"/>
      <c r="S906" s="72"/>
      <c r="T906" s="72"/>
      <c r="U906" s="81"/>
      <c r="V906" s="81"/>
      <c r="AA906" s="2"/>
    </row>
    <row r="907" ht="12.75" customHeight="1">
      <c r="A907" s="1"/>
      <c r="B907" s="1"/>
      <c r="L907" s="72"/>
      <c r="S907" s="72"/>
      <c r="T907" s="72"/>
      <c r="U907" s="81"/>
      <c r="V907" s="81"/>
      <c r="AA907" s="2"/>
    </row>
    <row r="908" ht="12.75" customHeight="1">
      <c r="A908" s="1"/>
      <c r="B908" s="1"/>
      <c r="L908" s="72"/>
      <c r="S908" s="72"/>
      <c r="T908" s="72"/>
      <c r="U908" s="81"/>
      <c r="V908" s="81"/>
      <c r="AA908" s="2"/>
    </row>
    <row r="909" ht="12.75" customHeight="1">
      <c r="A909" s="1"/>
      <c r="B909" s="1"/>
      <c r="L909" s="72"/>
      <c r="S909" s="72"/>
      <c r="T909" s="72"/>
      <c r="U909" s="81"/>
      <c r="V909" s="81"/>
      <c r="AA909" s="2"/>
    </row>
    <row r="910" ht="12.75" customHeight="1">
      <c r="A910" s="1"/>
      <c r="B910" s="1"/>
      <c r="L910" s="72"/>
      <c r="S910" s="72"/>
      <c r="T910" s="72"/>
      <c r="U910" s="81"/>
      <c r="V910" s="81"/>
      <c r="AA910" s="2"/>
    </row>
    <row r="911" ht="12.75" customHeight="1">
      <c r="A911" s="1"/>
      <c r="B911" s="1"/>
      <c r="L911" s="72"/>
      <c r="S911" s="72"/>
      <c r="T911" s="72"/>
      <c r="U911" s="81"/>
      <c r="V911" s="81"/>
      <c r="AA911" s="2"/>
    </row>
    <row r="912" ht="12.75" customHeight="1">
      <c r="A912" s="1"/>
      <c r="B912" s="1"/>
      <c r="L912" s="72"/>
      <c r="S912" s="72"/>
      <c r="T912" s="72"/>
      <c r="U912" s="81"/>
      <c r="V912" s="81"/>
      <c r="AA912" s="2"/>
    </row>
    <row r="913" ht="12.75" customHeight="1">
      <c r="A913" s="1"/>
      <c r="B913" s="1"/>
      <c r="L913" s="72"/>
      <c r="S913" s="72"/>
      <c r="T913" s="72"/>
      <c r="U913" s="81"/>
      <c r="V913" s="81"/>
      <c r="AA913" s="2"/>
    </row>
    <row r="914" ht="12.75" customHeight="1">
      <c r="A914" s="1"/>
      <c r="B914" s="1"/>
      <c r="L914" s="72"/>
      <c r="S914" s="72"/>
      <c r="T914" s="72"/>
      <c r="U914" s="81"/>
      <c r="V914" s="81"/>
      <c r="AA914" s="2"/>
    </row>
    <row r="915" ht="12.75" customHeight="1">
      <c r="A915" s="1"/>
      <c r="B915" s="1"/>
      <c r="L915" s="72"/>
      <c r="S915" s="72"/>
      <c r="T915" s="72"/>
      <c r="U915" s="81"/>
      <c r="V915" s="81"/>
      <c r="AA915" s="2"/>
    </row>
    <row r="916" ht="12.75" customHeight="1">
      <c r="A916" s="1"/>
      <c r="B916" s="1"/>
      <c r="L916" s="72"/>
      <c r="S916" s="72"/>
      <c r="T916" s="72"/>
      <c r="U916" s="81"/>
      <c r="V916" s="81"/>
      <c r="AA916" s="2"/>
    </row>
    <row r="917" ht="12.75" customHeight="1">
      <c r="A917" s="1"/>
      <c r="B917" s="1"/>
      <c r="L917" s="72"/>
      <c r="S917" s="72"/>
      <c r="T917" s="72"/>
      <c r="U917" s="81"/>
      <c r="V917" s="81"/>
      <c r="AA917" s="2"/>
    </row>
    <row r="918" ht="12.75" customHeight="1">
      <c r="A918" s="1"/>
      <c r="B918" s="1"/>
      <c r="L918" s="72"/>
      <c r="S918" s="72"/>
      <c r="T918" s="72"/>
      <c r="U918" s="81"/>
      <c r="V918" s="81"/>
      <c r="AA918" s="2"/>
    </row>
    <row r="919" ht="12.75" customHeight="1">
      <c r="A919" s="1"/>
      <c r="B919" s="1"/>
      <c r="L919" s="72"/>
      <c r="S919" s="72"/>
      <c r="T919" s="72"/>
      <c r="U919" s="81"/>
      <c r="V919" s="81"/>
      <c r="AA919" s="2"/>
    </row>
    <row r="920" ht="12.75" customHeight="1">
      <c r="A920" s="1"/>
      <c r="B920" s="1"/>
      <c r="L920" s="72"/>
      <c r="S920" s="72"/>
      <c r="T920" s="72"/>
      <c r="U920" s="81"/>
      <c r="V920" s="81"/>
      <c r="AA920" s="2"/>
    </row>
    <row r="921" ht="12.75" customHeight="1">
      <c r="A921" s="1"/>
      <c r="B921" s="1"/>
      <c r="L921" s="72"/>
      <c r="S921" s="72"/>
      <c r="T921" s="72"/>
      <c r="U921" s="81"/>
      <c r="V921" s="81"/>
      <c r="AA921" s="2"/>
    </row>
    <row r="922" ht="12.75" customHeight="1">
      <c r="A922" s="1"/>
      <c r="B922" s="1"/>
      <c r="L922" s="72"/>
      <c r="S922" s="72"/>
      <c r="T922" s="72"/>
      <c r="U922" s="81"/>
      <c r="V922" s="81"/>
      <c r="AA922" s="2"/>
    </row>
    <row r="923" ht="12.75" customHeight="1">
      <c r="A923" s="1"/>
      <c r="B923" s="1"/>
      <c r="L923" s="72"/>
      <c r="S923" s="72"/>
      <c r="T923" s="72"/>
      <c r="U923" s="81"/>
      <c r="V923" s="81"/>
      <c r="AA923" s="2"/>
    </row>
    <row r="924" ht="12.75" customHeight="1">
      <c r="A924" s="1"/>
      <c r="B924" s="1"/>
      <c r="L924" s="72"/>
      <c r="S924" s="72"/>
      <c r="T924" s="72"/>
      <c r="U924" s="81"/>
      <c r="V924" s="81"/>
      <c r="AA924" s="2"/>
    </row>
    <row r="925" ht="12.75" customHeight="1">
      <c r="A925" s="1"/>
      <c r="B925" s="1"/>
      <c r="L925" s="72"/>
      <c r="S925" s="72"/>
      <c r="T925" s="72"/>
      <c r="U925" s="81"/>
      <c r="V925" s="81"/>
      <c r="AA925" s="2"/>
    </row>
    <row r="926" ht="12.75" customHeight="1">
      <c r="A926" s="1"/>
      <c r="B926" s="1"/>
      <c r="L926" s="72"/>
      <c r="S926" s="72"/>
      <c r="T926" s="72"/>
      <c r="U926" s="81"/>
      <c r="V926" s="81"/>
      <c r="AA926" s="2"/>
    </row>
    <row r="927" ht="12.75" customHeight="1">
      <c r="A927" s="1"/>
      <c r="B927" s="1"/>
      <c r="L927" s="72"/>
      <c r="S927" s="72"/>
      <c r="T927" s="72"/>
      <c r="U927" s="81"/>
      <c r="V927" s="81"/>
      <c r="AA927" s="2"/>
    </row>
    <row r="928" ht="12.75" customHeight="1">
      <c r="A928" s="1"/>
      <c r="B928" s="1"/>
      <c r="L928" s="72"/>
      <c r="S928" s="72"/>
      <c r="T928" s="72"/>
      <c r="U928" s="81"/>
      <c r="V928" s="81"/>
      <c r="AA928" s="2"/>
    </row>
    <row r="929" ht="12.75" customHeight="1">
      <c r="A929" s="1"/>
      <c r="B929" s="1"/>
      <c r="L929" s="72"/>
      <c r="S929" s="72"/>
      <c r="T929" s="72"/>
      <c r="U929" s="81"/>
      <c r="V929" s="81"/>
      <c r="AA929" s="2"/>
    </row>
    <row r="930" ht="12.75" customHeight="1">
      <c r="A930" s="1"/>
      <c r="B930" s="1"/>
      <c r="L930" s="72"/>
      <c r="S930" s="72"/>
      <c r="T930" s="72"/>
      <c r="U930" s="81"/>
      <c r="V930" s="81"/>
      <c r="AA930" s="2"/>
    </row>
    <row r="931" ht="12.75" customHeight="1">
      <c r="A931" s="1"/>
      <c r="B931" s="1"/>
      <c r="L931" s="72"/>
      <c r="S931" s="72"/>
      <c r="T931" s="72"/>
      <c r="U931" s="81"/>
      <c r="V931" s="81"/>
      <c r="AA931" s="2"/>
    </row>
    <row r="932" ht="12.75" customHeight="1">
      <c r="A932" s="1"/>
      <c r="B932" s="1"/>
      <c r="L932" s="72"/>
      <c r="S932" s="72"/>
      <c r="T932" s="72"/>
      <c r="U932" s="81"/>
      <c r="V932" s="81"/>
      <c r="AA932" s="2"/>
    </row>
    <row r="933" ht="12.75" customHeight="1">
      <c r="A933" s="1"/>
      <c r="B933" s="1"/>
      <c r="L933" s="72"/>
      <c r="S933" s="72"/>
      <c r="T933" s="72"/>
      <c r="U933" s="81"/>
      <c r="V933" s="81"/>
      <c r="AA933" s="2"/>
    </row>
    <row r="934" ht="12.75" customHeight="1">
      <c r="A934" s="1"/>
      <c r="B934" s="1"/>
      <c r="L934" s="72"/>
      <c r="S934" s="72"/>
      <c r="T934" s="72"/>
      <c r="U934" s="81"/>
      <c r="V934" s="81"/>
      <c r="AA934" s="2"/>
    </row>
    <row r="935" ht="12.75" customHeight="1">
      <c r="A935" s="1"/>
      <c r="B935" s="1"/>
      <c r="L935" s="72"/>
      <c r="S935" s="72"/>
      <c r="T935" s="72"/>
      <c r="U935" s="81"/>
      <c r="V935" s="81"/>
      <c r="AA935" s="2"/>
    </row>
    <row r="936" ht="12.75" customHeight="1">
      <c r="A936" s="1"/>
      <c r="B936" s="1"/>
      <c r="L936" s="72"/>
      <c r="S936" s="72"/>
      <c r="T936" s="72"/>
      <c r="U936" s="81"/>
      <c r="V936" s="81"/>
      <c r="AA936" s="2"/>
    </row>
    <row r="937" ht="12.75" customHeight="1">
      <c r="A937" s="1"/>
      <c r="B937" s="1"/>
      <c r="L937" s="72"/>
      <c r="S937" s="72"/>
      <c r="T937" s="72"/>
      <c r="U937" s="81"/>
      <c r="V937" s="81"/>
      <c r="AA937" s="2"/>
    </row>
    <row r="938" ht="12.75" customHeight="1">
      <c r="A938" s="1"/>
      <c r="B938" s="1"/>
      <c r="L938" s="72"/>
      <c r="S938" s="72"/>
      <c r="T938" s="72"/>
      <c r="U938" s="81"/>
      <c r="V938" s="81"/>
      <c r="AA938" s="2"/>
    </row>
    <row r="939" ht="12.75" customHeight="1">
      <c r="A939" s="1"/>
      <c r="B939" s="1"/>
      <c r="L939" s="72"/>
      <c r="S939" s="72"/>
      <c r="T939" s="72"/>
      <c r="U939" s="81"/>
      <c r="V939" s="81"/>
      <c r="AA939" s="2"/>
    </row>
    <row r="940" ht="12.75" customHeight="1">
      <c r="A940" s="1"/>
      <c r="B940" s="1"/>
      <c r="L940" s="72"/>
      <c r="S940" s="72"/>
      <c r="T940" s="72"/>
      <c r="U940" s="81"/>
      <c r="V940" s="81"/>
      <c r="AA940" s="2"/>
    </row>
    <row r="941" ht="12.75" customHeight="1">
      <c r="A941" s="1"/>
      <c r="B941" s="1"/>
      <c r="L941" s="72"/>
      <c r="S941" s="72"/>
      <c r="T941" s="72"/>
      <c r="U941" s="81"/>
      <c r="V941" s="81"/>
      <c r="AA941" s="2"/>
    </row>
    <row r="942" ht="12.75" customHeight="1">
      <c r="A942" s="1"/>
      <c r="B942" s="1"/>
      <c r="L942" s="72"/>
      <c r="S942" s="72"/>
      <c r="T942" s="72"/>
      <c r="U942" s="81"/>
      <c r="V942" s="81"/>
      <c r="AA942" s="2"/>
    </row>
    <row r="943" ht="12.75" customHeight="1">
      <c r="A943" s="1"/>
      <c r="B943" s="1"/>
      <c r="L943" s="72"/>
      <c r="S943" s="72"/>
      <c r="T943" s="72"/>
      <c r="U943" s="81"/>
      <c r="V943" s="81"/>
      <c r="AA943" s="2"/>
    </row>
    <row r="944" ht="12.75" customHeight="1">
      <c r="A944" s="1"/>
      <c r="B944" s="1"/>
      <c r="L944" s="72"/>
      <c r="S944" s="72"/>
      <c r="T944" s="72"/>
      <c r="U944" s="81"/>
      <c r="V944" s="81"/>
      <c r="AA944" s="2"/>
    </row>
    <row r="945" ht="12.75" customHeight="1">
      <c r="A945" s="1"/>
      <c r="B945" s="1"/>
      <c r="L945" s="72"/>
      <c r="S945" s="72"/>
      <c r="T945" s="72"/>
      <c r="U945" s="81"/>
      <c r="V945" s="81"/>
      <c r="AA945" s="2"/>
    </row>
    <row r="946" ht="12.75" customHeight="1">
      <c r="A946" s="1"/>
      <c r="B946" s="1"/>
      <c r="L946" s="72"/>
      <c r="S946" s="72"/>
      <c r="T946" s="72"/>
      <c r="U946" s="81"/>
      <c r="V946" s="81"/>
      <c r="AA946" s="2"/>
    </row>
    <row r="947" ht="12.75" customHeight="1">
      <c r="A947" s="1"/>
      <c r="B947" s="1"/>
      <c r="L947" s="72"/>
      <c r="S947" s="72"/>
      <c r="T947" s="72"/>
      <c r="U947" s="81"/>
      <c r="V947" s="81"/>
      <c r="AA947" s="2"/>
    </row>
    <row r="948" ht="12.75" customHeight="1">
      <c r="A948" s="1"/>
      <c r="B948" s="1"/>
      <c r="L948" s="72"/>
      <c r="S948" s="72"/>
      <c r="T948" s="72"/>
      <c r="U948" s="81"/>
      <c r="V948" s="81"/>
      <c r="AA948" s="2"/>
    </row>
    <row r="949" ht="12.75" customHeight="1">
      <c r="A949" s="1"/>
      <c r="B949" s="1"/>
      <c r="L949" s="72"/>
      <c r="S949" s="72"/>
      <c r="T949" s="72"/>
      <c r="U949" s="81"/>
      <c r="V949" s="81"/>
      <c r="AA949" s="2"/>
    </row>
    <row r="950" ht="12.75" customHeight="1">
      <c r="A950" s="1"/>
      <c r="B950" s="1"/>
      <c r="L950" s="72"/>
      <c r="S950" s="72"/>
      <c r="T950" s="72"/>
      <c r="U950" s="81"/>
      <c r="V950" s="81"/>
      <c r="AA950" s="2"/>
    </row>
    <row r="951" ht="12.75" customHeight="1">
      <c r="A951" s="1"/>
      <c r="B951" s="1"/>
      <c r="L951" s="72"/>
      <c r="S951" s="72"/>
      <c r="T951" s="72"/>
      <c r="U951" s="81"/>
      <c r="V951" s="81"/>
      <c r="AA951" s="2"/>
    </row>
    <row r="952" ht="12.75" customHeight="1">
      <c r="A952" s="1"/>
      <c r="B952" s="1"/>
      <c r="L952" s="72"/>
      <c r="S952" s="72"/>
      <c r="T952" s="72"/>
      <c r="U952" s="81"/>
      <c r="V952" s="81"/>
      <c r="AA952" s="2"/>
    </row>
    <row r="953" ht="12.75" customHeight="1">
      <c r="A953" s="1"/>
      <c r="B953" s="1"/>
      <c r="L953" s="72"/>
      <c r="S953" s="72"/>
      <c r="T953" s="72"/>
      <c r="U953" s="81"/>
      <c r="V953" s="81"/>
      <c r="AA953" s="2"/>
    </row>
    <row r="954" ht="12.75" customHeight="1">
      <c r="A954" s="1"/>
      <c r="B954" s="1"/>
      <c r="L954" s="72"/>
      <c r="S954" s="72"/>
      <c r="T954" s="72"/>
      <c r="U954" s="81"/>
      <c r="V954" s="81"/>
      <c r="AA954" s="2"/>
    </row>
    <row r="955" ht="12.75" customHeight="1">
      <c r="A955" s="1"/>
      <c r="B955" s="1"/>
      <c r="L955" s="72"/>
      <c r="S955" s="72"/>
      <c r="T955" s="72"/>
      <c r="U955" s="81"/>
      <c r="V955" s="81"/>
      <c r="AA955" s="2"/>
    </row>
    <row r="956" ht="12.75" customHeight="1">
      <c r="A956" s="1"/>
      <c r="B956" s="1"/>
      <c r="L956" s="72"/>
      <c r="S956" s="72"/>
      <c r="T956" s="72"/>
      <c r="U956" s="81"/>
      <c r="V956" s="81"/>
      <c r="AA956" s="2"/>
    </row>
    <row r="957" ht="12.75" customHeight="1">
      <c r="A957" s="1"/>
      <c r="B957" s="1"/>
      <c r="L957" s="72"/>
      <c r="S957" s="72"/>
      <c r="T957" s="72"/>
      <c r="U957" s="81"/>
      <c r="V957" s="81"/>
      <c r="AA957" s="2"/>
    </row>
    <row r="958" ht="12.75" customHeight="1">
      <c r="A958" s="1"/>
      <c r="B958" s="1"/>
      <c r="L958" s="72"/>
      <c r="S958" s="72"/>
      <c r="T958" s="72"/>
      <c r="U958" s="81"/>
      <c r="V958" s="81"/>
      <c r="AA958" s="2"/>
    </row>
    <row r="959" ht="12.75" customHeight="1">
      <c r="A959" s="1"/>
      <c r="B959" s="1"/>
      <c r="L959" s="72"/>
      <c r="S959" s="72"/>
      <c r="T959" s="72"/>
      <c r="U959" s="81"/>
      <c r="V959" s="81"/>
      <c r="AA959" s="2"/>
    </row>
    <row r="960" ht="12.75" customHeight="1">
      <c r="A960" s="1"/>
      <c r="B960" s="1"/>
      <c r="L960" s="72"/>
      <c r="S960" s="72"/>
      <c r="T960" s="72"/>
      <c r="U960" s="81"/>
      <c r="V960" s="81"/>
      <c r="AA960" s="2"/>
    </row>
    <row r="961" ht="12.75" customHeight="1">
      <c r="A961" s="1"/>
      <c r="B961" s="1"/>
      <c r="L961" s="72"/>
      <c r="S961" s="72"/>
      <c r="T961" s="72"/>
      <c r="U961" s="81"/>
      <c r="V961" s="81"/>
      <c r="AA961" s="2"/>
    </row>
    <row r="962" ht="12.75" customHeight="1">
      <c r="A962" s="1"/>
      <c r="B962" s="1"/>
      <c r="L962" s="72"/>
      <c r="S962" s="72"/>
      <c r="T962" s="72"/>
      <c r="U962" s="81"/>
      <c r="V962" s="81"/>
      <c r="AA962" s="2"/>
    </row>
    <row r="963" ht="12.75" customHeight="1">
      <c r="A963" s="1"/>
      <c r="B963" s="1"/>
      <c r="L963" s="72"/>
      <c r="S963" s="72"/>
      <c r="T963" s="72"/>
      <c r="U963" s="81"/>
      <c r="V963" s="81"/>
      <c r="AA963" s="2"/>
    </row>
    <row r="964" ht="12.75" customHeight="1">
      <c r="A964" s="1"/>
      <c r="B964" s="1"/>
      <c r="L964" s="72"/>
      <c r="S964" s="72"/>
      <c r="T964" s="72"/>
      <c r="U964" s="81"/>
      <c r="V964" s="81"/>
      <c r="AA964" s="2"/>
    </row>
    <row r="965" ht="12.75" customHeight="1">
      <c r="A965" s="1"/>
      <c r="B965" s="1"/>
      <c r="L965" s="72"/>
      <c r="S965" s="72"/>
      <c r="T965" s="72"/>
      <c r="U965" s="81"/>
      <c r="V965" s="81"/>
      <c r="AA965" s="2"/>
    </row>
    <row r="966" ht="12.75" customHeight="1">
      <c r="A966" s="1"/>
      <c r="B966" s="1"/>
      <c r="L966" s="72"/>
      <c r="S966" s="72"/>
      <c r="T966" s="72"/>
      <c r="U966" s="81"/>
      <c r="V966" s="81"/>
      <c r="AA966" s="2"/>
    </row>
    <row r="967" ht="12.75" customHeight="1">
      <c r="A967" s="1"/>
      <c r="B967" s="1"/>
      <c r="L967" s="72"/>
      <c r="S967" s="72"/>
      <c r="T967" s="72"/>
      <c r="U967" s="81"/>
      <c r="V967" s="81"/>
      <c r="AA967" s="2"/>
    </row>
    <row r="968" ht="12.75" customHeight="1">
      <c r="A968" s="1"/>
      <c r="B968" s="1"/>
      <c r="L968" s="72"/>
      <c r="S968" s="72"/>
      <c r="T968" s="72"/>
      <c r="U968" s="81"/>
      <c r="V968" s="81"/>
      <c r="AA968" s="2"/>
    </row>
    <row r="969" ht="12.75" customHeight="1">
      <c r="A969" s="1"/>
      <c r="B969" s="1"/>
      <c r="L969" s="72"/>
      <c r="S969" s="72"/>
      <c r="T969" s="72"/>
      <c r="U969" s="81"/>
      <c r="V969" s="81"/>
      <c r="AA969" s="2"/>
    </row>
    <row r="970" ht="12.75" customHeight="1">
      <c r="A970" s="1"/>
      <c r="B970" s="1"/>
      <c r="L970" s="72"/>
      <c r="S970" s="72"/>
      <c r="T970" s="72"/>
      <c r="U970" s="81"/>
      <c r="V970" s="81"/>
      <c r="AA970" s="2"/>
    </row>
    <row r="971" ht="12.75" customHeight="1">
      <c r="A971" s="1"/>
      <c r="B971" s="1"/>
      <c r="L971" s="72"/>
      <c r="S971" s="72"/>
      <c r="T971" s="72"/>
      <c r="U971" s="81"/>
      <c r="V971" s="81"/>
      <c r="AA971" s="2"/>
    </row>
    <row r="972" ht="12.75" customHeight="1">
      <c r="A972" s="1"/>
      <c r="B972" s="1"/>
      <c r="L972" s="72"/>
      <c r="S972" s="72"/>
      <c r="T972" s="72"/>
      <c r="U972" s="81"/>
      <c r="V972" s="81"/>
      <c r="AA972" s="2"/>
    </row>
    <row r="973" ht="12.75" customHeight="1">
      <c r="A973" s="1"/>
      <c r="B973" s="1"/>
      <c r="L973" s="72"/>
      <c r="S973" s="72"/>
      <c r="T973" s="72"/>
      <c r="U973" s="81"/>
      <c r="V973" s="81"/>
      <c r="AA973" s="2"/>
    </row>
    <row r="974" ht="12.75" customHeight="1">
      <c r="A974" s="1"/>
      <c r="B974" s="1"/>
      <c r="L974" s="72"/>
      <c r="S974" s="72"/>
      <c r="T974" s="72"/>
      <c r="U974" s="81"/>
      <c r="V974" s="81"/>
      <c r="AA974" s="2"/>
    </row>
    <row r="975" ht="12.75" customHeight="1">
      <c r="A975" s="1"/>
      <c r="B975" s="1"/>
      <c r="L975" s="72"/>
      <c r="S975" s="72"/>
      <c r="T975" s="72"/>
      <c r="U975" s="81"/>
      <c r="V975" s="81"/>
      <c r="AA975" s="2"/>
    </row>
    <row r="976" ht="12.75" customHeight="1">
      <c r="A976" s="1"/>
      <c r="B976" s="1"/>
      <c r="L976" s="72"/>
      <c r="S976" s="72"/>
      <c r="T976" s="72"/>
      <c r="U976" s="81"/>
      <c r="V976" s="81"/>
      <c r="AA976" s="2"/>
    </row>
    <row r="977" ht="12.75" customHeight="1">
      <c r="A977" s="1"/>
      <c r="B977" s="1"/>
      <c r="L977" s="72"/>
      <c r="S977" s="72"/>
      <c r="T977" s="72"/>
      <c r="U977" s="81"/>
      <c r="V977" s="81"/>
      <c r="AA977" s="2"/>
    </row>
    <row r="978" ht="12.75" customHeight="1">
      <c r="A978" s="1"/>
      <c r="B978" s="1"/>
      <c r="L978" s="72"/>
      <c r="S978" s="72"/>
      <c r="T978" s="72"/>
      <c r="U978" s="81"/>
      <c r="V978" s="81"/>
      <c r="AA978" s="2"/>
    </row>
    <row r="979" ht="12.75" customHeight="1">
      <c r="A979" s="1"/>
      <c r="B979" s="1"/>
      <c r="L979" s="72"/>
      <c r="S979" s="72"/>
      <c r="T979" s="72"/>
      <c r="U979" s="81"/>
      <c r="V979" s="81"/>
      <c r="AA979" s="2"/>
    </row>
    <row r="980" ht="12.75" customHeight="1">
      <c r="A980" s="1"/>
      <c r="B980" s="1"/>
      <c r="L980" s="72"/>
      <c r="S980" s="72"/>
      <c r="T980" s="72"/>
      <c r="U980" s="81"/>
      <c r="V980" s="81"/>
      <c r="AA980" s="2"/>
    </row>
    <row r="981" ht="12.75" customHeight="1">
      <c r="A981" s="1"/>
      <c r="B981" s="1"/>
      <c r="L981" s="72"/>
      <c r="S981" s="72"/>
      <c r="T981" s="72"/>
      <c r="U981" s="81"/>
      <c r="V981" s="81"/>
      <c r="AA981" s="2"/>
    </row>
    <row r="982" ht="12.75" customHeight="1">
      <c r="A982" s="1"/>
      <c r="B982" s="1"/>
      <c r="L982" s="72"/>
      <c r="S982" s="72"/>
      <c r="T982" s="72"/>
      <c r="U982" s="81"/>
      <c r="V982" s="81"/>
      <c r="AA982" s="2"/>
    </row>
    <row r="983" ht="12.75" customHeight="1">
      <c r="A983" s="1"/>
      <c r="B983" s="1"/>
      <c r="L983" s="72"/>
      <c r="S983" s="72"/>
      <c r="T983" s="72"/>
      <c r="U983" s="81"/>
      <c r="V983" s="81"/>
      <c r="AA983" s="2"/>
    </row>
    <row r="984" ht="12.75" customHeight="1">
      <c r="A984" s="1"/>
      <c r="B984" s="1"/>
      <c r="L984" s="72"/>
      <c r="S984" s="72"/>
      <c r="T984" s="72"/>
      <c r="U984" s="81"/>
      <c r="V984" s="81"/>
      <c r="AA984" s="2"/>
    </row>
    <row r="985" ht="12.75" customHeight="1">
      <c r="A985" s="1"/>
      <c r="B985" s="1"/>
      <c r="L985" s="72"/>
      <c r="S985" s="72"/>
      <c r="T985" s="72"/>
      <c r="U985" s="81"/>
      <c r="V985" s="81"/>
      <c r="AA985" s="2"/>
    </row>
    <row r="986" ht="12.75" customHeight="1">
      <c r="A986" s="1"/>
      <c r="B986" s="1"/>
      <c r="L986" s="72"/>
      <c r="S986" s="72"/>
      <c r="T986" s="72"/>
      <c r="U986" s="81"/>
      <c r="V986" s="81"/>
      <c r="AA986" s="2"/>
    </row>
    <row r="987" ht="12.75" customHeight="1">
      <c r="A987" s="1"/>
      <c r="B987" s="1"/>
      <c r="L987" s="72"/>
      <c r="S987" s="72"/>
      <c r="T987" s="72"/>
      <c r="U987" s="81"/>
      <c r="V987" s="81"/>
      <c r="AA987" s="2"/>
    </row>
    <row r="988" ht="12.75" customHeight="1">
      <c r="A988" s="1"/>
      <c r="B988" s="1"/>
      <c r="L988" s="72"/>
      <c r="S988" s="72"/>
      <c r="T988" s="72"/>
      <c r="U988" s="81"/>
      <c r="V988" s="81"/>
      <c r="AA988" s="2"/>
    </row>
    <row r="989" ht="12.75" customHeight="1">
      <c r="A989" s="1"/>
      <c r="B989" s="1"/>
      <c r="L989" s="72"/>
      <c r="S989" s="72"/>
      <c r="T989" s="72"/>
      <c r="U989" s="81"/>
      <c r="V989" s="81"/>
      <c r="AA989" s="2"/>
    </row>
    <row r="990" ht="12.75" customHeight="1">
      <c r="A990" s="1"/>
      <c r="B990" s="1"/>
      <c r="L990" s="72"/>
      <c r="S990" s="72"/>
      <c r="T990" s="72"/>
      <c r="U990" s="81"/>
      <c r="V990" s="81"/>
      <c r="AA990" s="2"/>
    </row>
    <row r="991" ht="12.75" customHeight="1">
      <c r="A991" s="1"/>
      <c r="B991" s="1"/>
      <c r="L991" s="72"/>
      <c r="S991" s="72"/>
      <c r="T991" s="72"/>
      <c r="U991" s="81"/>
      <c r="V991" s="81"/>
      <c r="AA991" s="2"/>
    </row>
    <row r="992" ht="12.75" customHeight="1">
      <c r="A992" s="1"/>
      <c r="B992" s="1"/>
      <c r="L992" s="72"/>
      <c r="S992" s="72"/>
      <c r="T992" s="72"/>
      <c r="U992" s="81"/>
      <c r="V992" s="81"/>
      <c r="AA992" s="2"/>
    </row>
    <row r="993" ht="12.75" customHeight="1">
      <c r="A993" s="1"/>
      <c r="B993" s="1"/>
      <c r="L993" s="72"/>
      <c r="S993" s="72"/>
      <c r="T993" s="72"/>
      <c r="U993" s="81"/>
      <c r="V993" s="81"/>
      <c r="AA993" s="2"/>
    </row>
    <row r="994" ht="12.75" customHeight="1">
      <c r="A994" s="1"/>
      <c r="B994" s="1"/>
      <c r="L994" s="72"/>
      <c r="S994" s="72"/>
      <c r="T994" s="72"/>
      <c r="U994" s="81"/>
      <c r="V994" s="81"/>
      <c r="AA994" s="2"/>
    </row>
    <row r="995" ht="12.75" customHeight="1">
      <c r="A995" s="1"/>
      <c r="B995" s="1"/>
      <c r="L995" s="72"/>
      <c r="S995" s="72"/>
      <c r="T995" s="72"/>
      <c r="U995" s="81"/>
      <c r="V995" s="81"/>
      <c r="AA995" s="2"/>
    </row>
    <row r="996" ht="12.75" customHeight="1">
      <c r="A996" s="1"/>
      <c r="B996" s="1"/>
      <c r="L996" s="72"/>
      <c r="S996" s="72"/>
      <c r="T996" s="72"/>
      <c r="U996" s="81"/>
      <c r="V996" s="81"/>
      <c r="AA996" s="2"/>
    </row>
    <row r="997" ht="12.75" customHeight="1">
      <c r="A997" s="1"/>
      <c r="B997" s="1"/>
      <c r="L997" s="72"/>
      <c r="S997" s="72"/>
      <c r="T997" s="72"/>
      <c r="U997" s="81"/>
      <c r="V997" s="81"/>
      <c r="AA997" s="2"/>
    </row>
    <row r="998" ht="12.75" customHeight="1">
      <c r="A998" s="1"/>
      <c r="B998" s="1"/>
      <c r="L998" s="72"/>
      <c r="S998" s="72"/>
      <c r="T998" s="72"/>
      <c r="U998" s="81"/>
      <c r="V998" s="81"/>
      <c r="AA998" s="2"/>
    </row>
    <row r="999" ht="12.75" customHeight="1">
      <c r="A999" s="1"/>
      <c r="B999" s="1"/>
      <c r="L999" s="72"/>
      <c r="S999" s="72"/>
      <c r="T999" s="72"/>
      <c r="U999" s="81"/>
      <c r="V999" s="81"/>
      <c r="AA999" s="2"/>
    </row>
    <row r="1000" ht="12.75" customHeight="1">
      <c r="A1000" s="1"/>
      <c r="B1000" s="1"/>
      <c r="L1000" s="72"/>
      <c r="S1000" s="72"/>
      <c r="T1000" s="72"/>
      <c r="U1000" s="81"/>
      <c r="V1000" s="81"/>
      <c r="AA1000" s="2"/>
    </row>
    <row r="1001" ht="12.75" customHeight="1">
      <c r="A1001" s="1"/>
      <c r="B1001" s="1"/>
      <c r="L1001" s="72"/>
      <c r="S1001" s="72"/>
      <c r="T1001" s="72"/>
      <c r="U1001" s="81"/>
      <c r="V1001" s="81"/>
      <c r="AA1001" s="2"/>
    </row>
    <row r="1002" ht="12.75" customHeight="1">
      <c r="A1002" s="1"/>
      <c r="B1002" s="1"/>
      <c r="L1002" s="72"/>
      <c r="S1002" s="72"/>
      <c r="T1002" s="72"/>
      <c r="U1002" s="81"/>
      <c r="V1002" s="81"/>
      <c r="AA1002" s="2"/>
    </row>
    <row r="1003" ht="12.75" customHeight="1">
      <c r="A1003" s="1"/>
      <c r="B1003" s="1"/>
      <c r="L1003" s="72"/>
      <c r="S1003" s="72"/>
      <c r="T1003" s="72"/>
      <c r="U1003" s="81"/>
      <c r="V1003" s="81"/>
      <c r="AA1003" s="2"/>
    </row>
    <row r="1004" ht="12.75" customHeight="1">
      <c r="A1004" s="1"/>
      <c r="B1004" s="1"/>
      <c r="L1004" s="72"/>
      <c r="S1004" s="72"/>
      <c r="T1004" s="72"/>
      <c r="U1004" s="81"/>
      <c r="V1004" s="81"/>
      <c r="AA1004" s="2"/>
    </row>
    <row r="1005" ht="12.75" customHeight="1">
      <c r="A1005" s="1"/>
      <c r="B1005" s="1"/>
      <c r="L1005" s="72"/>
      <c r="S1005" s="72"/>
      <c r="T1005" s="72"/>
      <c r="U1005" s="81"/>
      <c r="V1005" s="81"/>
      <c r="AA1005" s="2"/>
    </row>
    <row r="1006" ht="12.75" customHeight="1">
      <c r="A1006" s="1"/>
      <c r="B1006" s="1"/>
      <c r="L1006" s="72"/>
      <c r="S1006" s="72"/>
      <c r="T1006" s="72"/>
      <c r="U1006" s="81"/>
      <c r="V1006" s="81"/>
      <c r="AA1006" s="2"/>
    </row>
    <row r="1007" ht="12.75" customHeight="1">
      <c r="A1007" s="1"/>
      <c r="B1007" s="1"/>
      <c r="L1007" s="72"/>
      <c r="S1007" s="72"/>
      <c r="T1007" s="72"/>
      <c r="U1007" s="81"/>
      <c r="V1007" s="81"/>
      <c r="AA1007" s="2"/>
    </row>
    <row r="1008" ht="12.75" customHeight="1">
      <c r="A1008" s="1"/>
      <c r="B1008" s="1"/>
      <c r="L1008" s="72"/>
      <c r="S1008" s="72"/>
      <c r="T1008" s="72"/>
      <c r="U1008" s="81"/>
      <c r="V1008" s="81"/>
      <c r="AA1008" s="2"/>
    </row>
    <row r="1009" ht="12.75" customHeight="1">
      <c r="A1009" s="1"/>
      <c r="B1009" s="1"/>
      <c r="L1009" s="72"/>
      <c r="S1009" s="72"/>
      <c r="T1009" s="72"/>
      <c r="U1009" s="81"/>
      <c r="V1009" s="81"/>
      <c r="AA1009" s="2"/>
    </row>
    <row r="1010" ht="12.75" customHeight="1">
      <c r="A1010" s="1"/>
      <c r="B1010" s="1"/>
      <c r="L1010" s="72"/>
      <c r="S1010" s="72"/>
      <c r="T1010" s="72"/>
      <c r="U1010" s="81"/>
      <c r="V1010" s="81"/>
      <c r="AA1010" s="2"/>
    </row>
    <row r="1011" ht="12.75" customHeight="1">
      <c r="A1011" s="1"/>
      <c r="B1011" s="1"/>
      <c r="L1011" s="72"/>
      <c r="S1011" s="72"/>
      <c r="T1011" s="72"/>
      <c r="U1011" s="81"/>
      <c r="V1011" s="81"/>
      <c r="AA1011" s="2"/>
    </row>
    <row r="1012" ht="12.75" customHeight="1">
      <c r="A1012" s="1"/>
      <c r="B1012" s="1"/>
      <c r="L1012" s="72"/>
      <c r="S1012" s="72"/>
      <c r="T1012" s="72"/>
      <c r="U1012" s="81"/>
      <c r="V1012" s="81"/>
      <c r="AA1012" s="2"/>
    </row>
    <row r="1013" ht="12.75" customHeight="1">
      <c r="A1013" s="1"/>
      <c r="B1013" s="1"/>
      <c r="L1013" s="72"/>
      <c r="S1013" s="72"/>
      <c r="T1013" s="72"/>
      <c r="U1013" s="81"/>
      <c r="V1013" s="81"/>
      <c r="AA1013" s="2"/>
    </row>
    <row r="1014" ht="12.75" customHeight="1">
      <c r="A1014" s="1"/>
      <c r="B1014" s="1"/>
      <c r="L1014" s="72"/>
      <c r="S1014" s="72"/>
      <c r="T1014" s="72"/>
      <c r="U1014" s="81"/>
      <c r="V1014" s="81"/>
      <c r="AA1014" s="2"/>
    </row>
    <row r="1015" ht="12.75" customHeight="1">
      <c r="A1015" s="1"/>
      <c r="B1015" s="1"/>
      <c r="L1015" s="72"/>
      <c r="S1015" s="72"/>
      <c r="T1015" s="72"/>
      <c r="U1015" s="81"/>
      <c r="V1015" s="81"/>
      <c r="AA1015" s="2"/>
    </row>
    <row r="1016" ht="12.75" customHeight="1">
      <c r="A1016" s="1"/>
      <c r="B1016" s="1"/>
      <c r="L1016" s="72"/>
      <c r="S1016" s="72"/>
      <c r="T1016" s="72"/>
      <c r="U1016" s="81"/>
      <c r="V1016" s="81"/>
      <c r="AA1016" s="2"/>
    </row>
    <row r="1017" ht="12.75" customHeight="1">
      <c r="A1017" s="1"/>
      <c r="B1017" s="1"/>
      <c r="L1017" s="72"/>
      <c r="S1017" s="72"/>
      <c r="T1017" s="72"/>
      <c r="U1017" s="81"/>
      <c r="V1017" s="81"/>
      <c r="AA1017" s="2"/>
    </row>
    <row r="1018" ht="12.75" customHeight="1">
      <c r="A1018" s="1"/>
      <c r="B1018" s="1"/>
      <c r="L1018" s="72"/>
      <c r="S1018" s="72"/>
      <c r="T1018" s="72"/>
      <c r="U1018" s="81"/>
      <c r="V1018" s="81"/>
      <c r="AA1018" s="2"/>
    </row>
    <row r="1019" ht="12.75" customHeight="1">
      <c r="A1019" s="1"/>
      <c r="B1019" s="1"/>
      <c r="L1019" s="72"/>
      <c r="S1019" s="72"/>
      <c r="T1019" s="72"/>
      <c r="U1019" s="81"/>
      <c r="V1019" s="81"/>
      <c r="AA1019" s="2"/>
    </row>
    <row r="1020" ht="12.75" customHeight="1">
      <c r="A1020" s="1"/>
      <c r="B1020" s="1"/>
      <c r="L1020" s="72"/>
      <c r="S1020" s="72"/>
      <c r="T1020" s="72"/>
      <c r="U1020" s="81"/>
      <c r="V1020" s="81"/>
      <c r="AA1020" s="2"/>
    </row>
    <row r="1021" ht="12.75" customHeight="1">
      <c r="A1021" s="1"/>
      <c r="B1021" s="1"/>
      <c r="L1021" s="72"/>
      <c r="S1021" s="72"/>
      <c r="T1021" s="72"/>
      <c r="U1021" s="81"/>
      <c r="V1021" s="81"/>
      <c r="AA1021" s="2"/>
    </row>
    <row r="1022" ht="12.75" customHeight="1">
      <c r="A1022" s="1"/>
      <c r="B1022" s="1"/>
      <c r="L1022" s="72"/>
      <c r="S1022" s="72"/>
      <c r="T1022" s="72"/>
      <c r="U1022" s="81"/>
      <c r="V1022" s="81"/>
      <c r="AA1022" s="2"/>
    </row>
    <row r="1023" ht="12.75" customHeight="1">
      <c r="A1023" s="1"/>
      <c r="B1023" s="1"/>
      <c r="L1023" s="72"/>
      <c r="S1023" s="72"/>
      <c r="T1023" s="72"/>
      <c r="U1023" s="81"/>
      <c r="V1023" s="81"/>
      <c r="AA1023" s="2"/>
    </row>
    <row r="1024" ht="12.75" customHeight="1">
      <c r="A1024" s="1"/>
      <c r="B1024" s="1"/>
      <c r="L1024" s="72"/>
      <c r="S1024" s="72"/>
      <c r="T1024" s="72"/>
      <c r="U1024" s="81"/>
      <c r="V1024" s="81"/>
      <c r="AA1024" s="2"/>
    </row>
    <row r="1025" ht="12.75" customHeight="1">
      <c r="A1025" s="1"/>
      <c r="B1025" s="1"/>
      <c r="L1025" s="72"/>
      <c r="S1025" s="72"/>
      <c r="T1025" s="72"/>
      <c r="U1025" s="81"/>
      <c r="V1025" s="81"/>
      <c r="AA1025" s="2"/>
    </row>
    <row r="1026" ht="12.75" customHeight="1">
      <c r="A1026" s="1"/>
      <c r="B1026" s="1"/>
      <c r="L1026" s="72"/>
      <c r="S1026" s="72"/>
      <c r="T1026" s="72"/>
      <c r="U1026" s="81"/>
      <c r="V1026" s="81"/>
      <c r="AA1026" s="2"/>
    </row>
    <row r="1027" ht="12.75" customHeight="1">
      <c r="A1027" s="1"/>
      <c r="B1027" s="1"/>
      <c r="L1027" s="72"/>
      <c r="S1027" s="72"/>
      <c r="T1027" s="72"/>
      <c r="U1027" s="81"/>
      <c r="V1027" s="81"/>
      <c r="AA1027" s="2"/>
    </row>
    <row r="1028" ht="12.75" customHeight="1">
      <c r="A1028" s="1"/>
      <c r="B1028" s="1"/>
      <c r="L1028" s="72"/>
      <c r="S1028" s="72"/>
      <c r="T1028" s="72"/>
      <c r="U1028" s="81"/>
      <c r="V1028" s="81"/>
      <c r="AA1028" s="2"/>
    </row>
    <row r="1029" ht="12.75" customHeight="1">
      <c r="A1029" s="1"/>
      <c r="B1029" s="1"/>
      <c r="L1029" s="72"/>
      <c r="S1029" s="72"/>
      <c r="T1029" s="72"/>
      <c r="U1029" s="81"/>
      <c r="V1029" s="81"/>
      <c r="AA1029" s="2"/>
    </row>
    <row r="1030" ht="12.75" customHeight="1">
      <c r="A1030" s="1"/>
      <c r="B1030" s="1"/>
      <c r="L1030" s="72"/>
      <c r="S1030" s="72"/>
      <c r="T1030" s="72"/>
      <c r="U1030" s="81"/>
      <c r="V1030" s="81"/>
      <c r="AA1030" s="2"/>
    </row>
    <row r="1031" ht="12.75" customHeight="1">
      <c r="A1031" s="1"/>
      <c r="B1031" s="1"/>
      <c r="L1031" s="72"/>
      <c r="S1031" s="72"/>
      <c r="T1031" s="72"/>
      <c r="U1031" s="81"/>
      <c r="V1031" s="81"/>
      <c r="AA1031" s="2"/>
    </row>
    <row r="1032" ht="12.75" customHeight="1">
      <c r="A1032" s="1"/>
      <c r="B1032" s="1"/>
      <c r="L1032" s="72"/>
      <c r="S1032" s="72"/>
      <c r="T1032" s="72"/>
      <c r="U1032" s="81"/>
      <c r="V1032" s="81"/>
      <c r="AA1032" s="2"/>
    </row>
    <row r="1033" ht="12.75" customHeight="1">
      <c r="A1033" s="1"/>
      <c r="B1033" s="1"/>
      <c r="L1033" s="72"/>
      <c r="S1033" s="72"/>
      <c r="T1033" s="72"/>
      <c r="U1033" s="81"/>
      <c r="V1033" s="81"/>
      <c r="AA1033" s="2"/>
    </row>
    <row r="1034" ht="12.75" customHeight="1">
      <c r="A1034" s="1"/>
      <c r="B1034" s="1"/>
      <c r="L1034" s="72"/>
      <c r="S1034" s="72"/>
      <c r="T1034" s="72"/>
      <c r="U1034" s="81"/>
      <c r="V1034" s="81"/>
      <c r="AA1034" s="2"/>
    </row>
    <row r="1035" ht="12.75" customHeight="1">
      <c r="A1035" s="1"/>
      <c r="B1035" s="1"/>
      <c r="L1035" s="72"/>
      <c r="S1035" s="72"/>
      <c r="T1035" s="72"/>
      <c r="U1035" s="81"/>
      <c r="V1035" s="81"/>
      <c r="AA1035" s="2"/>
    </row>
    <row r="1036" ht="12.75" customHeight="1">
      <c r="A1036" s="1"/>
      <c r="B1036" s="1"/>
      <c r="L1036" s="72"/>
      <c r="S1036" s="72"/>
      <c r="T1036" s="72"/>
      <c r="U1036" s="81"/>
      <c r="V1036" s="81"/>
      <c r="AA1036" s="2"/>
    </row>
    <row r="1037" ht="12.75" customHeight="1">
      <c r="A1037" s="1"/>
      <c r="B1037" s="1"/>
      <c r="L1037" s="72"/>
      <c r="S1037" s="72"/>
      <c r="T1037" s="72"/>
      <c r="U1037" s="81"/>
      <c r="V1037" s="81"/>
      <c r="AA1037" s="2"/>
    </row>
    <row r="1038" ht="12.75" customHeight="1">
      <c r="A1038" s="1"/>
      <c r="B1038" s="1"/>
      <c r="L1038" s="72"/>
      <c r="S1038" s="72"/>
      <c r="T1038" s="72"/>
      <c r="U1038" s="81"/>
      <c r="V1038" s="81"/>
      <c r="AA1038" s="2"/>
    </row>
    <row r="1039" ht="12.75" customHeight="1">
      <c r="A1039" s="1"/>
      <c r="B1039" s="1"/>
      <c r="L1039" s="72"/>
      <c r="S1039" s="72"/>
      <c r="T1039" s="72"/>
      <c r="U1039" s="81"/>
      <c r="V1039" s="81"/>
      <c r="AA1039" s="2"/>
    </row>
    <row r="1040" ht="12.75" customHeight="1">
      <c r="A1040" s="1"/>
      <c r="B1040" s="1"/>
      <c r="L1040" s="72"/>
      <c r="S1040" s="72"/>
      <c r="T1040" s="72"/>
      <c r="U1040" s="81"/>
      <c r="V1040" s="81"/>
      <c r="AA1040" s="2"/>
    </row>
  </sheetData>
  <mergeCells count="36">
    <mergeCell ref="K25:L25"/>
    <mergeCell ref="O25:P25"/>
    <mergeCell ref="AG3:AH3"/>
    <mergeCell ref="AG13:AH13"/>
    <mergeCell ref="D23:E23"/>
    <mergeCell ref="J23:K23"/>
    <mergeCell ref="P23:Q23"/>
    <mergeCell ref="AG23:AH23"/>
    <mergeCell ref="C25:D25"/>
    <mergeCell ref="Q25:R25"/>
    <mergeCell ref="E25:F25"/>
    <mergeCell ref="I25:J25"/>
    <mergeCell ref="E45:F45"/>
    <mergeCell ref="I45:J45"/>
    <mergeCell ref="K45:L45"/>
    <mergeCell ref="O45:P45"/>
    <mergeCell ref="Q45:R45"/>
    <mergeCell ref="C45:D45"/>
    <mergeCell ref="C65:D65"/>
    <mergeCell ref="E65:F65"/>
    <mergeCell ref="I65:J65"/>
    <mergeCell ref="K65:L65"/>
    <mergeCell ref="O65:P65"/>
    <mergeCell ref="Q65:R65"/>
    <mergeCell ref="E105:F105"/>
    <mergeCell ref="I105:J105"/>
    <mergeCell ref="K105:L105"/>
    <mergeCell ref="O105:P105"/>
    <mergeCell ref="C85:D85"/>
    <mergeCell ref="E85:F85"/>
    <mergeCell ref="I85:J85"/>
    <mergeCell ref="K85:L85"/>
    <mergeCell ref="O85:P85"/>
    <mergeCell ref="Q85:R85"/>
    <mergeCell ref="C105:D105"/>
    <mergeCell ref="Q105:R105"/>
  </mergeCells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8" width="7.63"/>
    <col customWidth="1" min="19" max="20" width="13.5"/>
    <col customWidth="1" min="21" max="26" width="3.88"/>
    <col customWidth="1" min="27" max="27" width="11.5"/>
    <col customWidth="1" min="28" max="29" width="5.75"/>
    <col customWidth="1" min="30" max="30" width="6.25"/>
    <col customWidth="1" min="31" max="31" width="7.38"/>
    <col customWidth="1" min="32" max="32" width="5.38"/>
    <col customWidth="1" min="33" max="33" width="3.25"/>
    <col customWidth="1" min="34" max="35" width="11.5"/>
  </cols>
  <sheetData>
    <row r="1" ht="12.75" customHeight="1">
      <c r="W1" s="1"/>
      <c r="AA1" s="2"/>
    </row>
    <row r="2" ht="12.75" customHeight="1">
      <c r="S2" s="1"/>
      <c r="T2" s="1"/>
      <c r="U2" s="3"/>
      <c r="V2" s="4"/>
      <c r="W2" s="3"/>
      <c r="X2" s="4"/>
      <c r="Y2" s="3"/>
      <c r="Z2" s="4"/>
      <c r="AA2" s="5"/>
      <c r="AB2" s="4"/>
      <c r="AC2" s="4"/>
      <c r="AD2" s="4"/>
    </row>
    <row r="3" ht="12.75" customHeight="1">
      <c r="L3" s="1" t="s">
        <v>0</v>
      </c>
      <c r="M3" s="6" t="str">
        <f>C25</f>
        <v>Maarten</v>
      </c>
      <c r="N3" s="7" t="str">
        <f>E25</f>
        <v>Arjan</v>
      </c>
      <c r="O3" s="8" t="str">
        <f>if(AND(C41 = 0, F41 = 0), "Pending", "")</f>
        <v/>
      </c>
      <c r="S3" s="1"/>
      <c r="T3" s="9" t="s">
        <v>1</v>
      </c>
      <c r="U3" s="10" t="str">
        <f>T4</f>
        <v>Arjan</v>
      </c>
      <c r="V3" s="11" t="str">
        <f>T5</f>
        <v>Willem</v>
      </c>
      <c r="W3" s="10" t="str">
        <f>T6</f>
        <v>Eva</v>
      </c>
      <c r="X3" s="11" t="str">
        <f>T7</f>
        <v>Rory</v>
      </c>
      <c r="Y3" s="10" t="str">
        <f>T8</f>
        <v>Jesse</v>
      </c>
      <c r="Z3" s="11" t="str">
        <f>T9</f>
        <v>Maarten</v>
      </c>
      <c r="AA3" s="12" t="s">
        <v>2</v>
      </c>
      <c r="AB3" s="11" t="s">
        <v>3</v>
      </c>
      <c r="AC3" s="11" t="s">
        <v>4</v>
      </c>
      <c r="AD3" s="11" t="s">
        <v>5</v>
      </c>
      <c r="AE3" s="13"/>
      <c r="AF3" s="13"/>
      <c r="AG3" s="14" t="s">
        <v>6</v>
      </c>
      <c r="AH3" s="15"/>
      <c r="AI3" s="16" t="s">
        <v>7</v>
      </c>
    </row>
    <row r="4" ht="12.75" customHeight="1">
      <c r="L4" s="1" t="s">
        <v>8</v>
      </c>
      <c r="M4" s="6" t="str">
        <f>C45</f>
        <v>Willem</v>
      </c>
      <c r="N4" s="7" t="str">
        <f>E45</f>
        <v>Jesse</v>
      </c>
      <c r="O4" s="8" t="str">
        <f>if(AND(C61 = 0, F61 = 0), "Pending", "")</f>
        <v/>
      </c>
      <c r="S4" s="17"/>
      <c r="T4" s="18" t="str">
        <f t="shared" ref="T4:T9" si="1">H8</f>
        <v>Arjan</v>
      </c>
      <c r="U4" s="19"/>
      <c r="V4" s="20">
        <f>F122</f>
        <v>-1</v>
      </c>
      <c r="W4" s="20">
        <f>L102</f>
        <v>-1</v>
      </c>
      <c r="X4" s="20">
        <f>R62</f>
        <v>1</v>
      </c>
      <c r="Y4" s="20">
        <f>R122</f>
        <v>1</v>
      </c>
      <c r="Z4" s="20">
        <f>C42</f>
        <v>-1</v>
      </c>
      <c r="AA4" s="21">
        <f t="shared" ref="AA4:AA9" si="2">SUMIF(U4:Z4, "&gt;0")</f>
        <v>2</v>
      </c>
      <c r="AB4" s="22">
        <f>U10</f>
        <v>3</v>
      </c>
      <c r="AC4" s="22">
        <f t="shared" ref="AC4:AC9" si="3">AA4</f>
        <v>2</v>
      </c>
      <c r="AD4" s="23">
        <f t="shared" ref="AD4:AD9" si="4">AB4-AC4+(0.01*AD14)+(0.001*AD24)</f>
        <v>0.868</v>
      </c>
      <c r="AE4" s="9" t="str">
        <f t="shared" ref="AE4:AE9" si="5">T4</f>
        <v>Arjan</v>
      </c>
      <c r="AF4" s="13"/>
      <c r="AG4" s="24">
        <f t="array" ref="AG4:AH9">sort(AD4:AE9, 1, FALSE)</f>
        <v>4.927</v>
      </c>
      <c r="AH4" s="25" t="s">
        <v>54</v>
      </c>
      <c r="AI4" s="26" t="s">
        <v>10</v>
      </c>
    </row>
    <row r="5" ht="12.75" customHeight="1">
      <c r="L5" s="1" t="s">
        <v>11</v>
      </c>
      <c r="M5" s="6" t="str">
        <f>C65</f>
        <v>Eva</v>
      </c>
      <c r="N5" s="7" t="str">
        <f>E65</f>
        <v>Rory</v>
      </c>
      <c r="O5" s="8" t="str">
        <f>if(AND(C81 = 0, F81 = 0), "Pending", "")</f>
        <v/>
      </c>
      <c r="S5" s="17"/>
      <c r="T5" s="18" t="str">
        <f t="shared" si="1"/>
        <v>Willem</v>
      </c>
      <c r="U5" s="20">
        <f>C122</f>
        <v>1</v>
      </c>
      <c r="V5" s="27"/>
      <c r="W5" s="20">
        <f>R82</f>
        <v>-1</v>
      </c>
      <c r="X5" s="20">
        <f>L122</f>
        <v>0</v>
      </c>
      <c r="Y5" s="20">
        <f>F62</f>
        <v>1</v>
      </c>
      <c r="Z5" s="20">
        <f>L82</f>
        <v>1</v>
      </c>
      <c r="AA5" s="21">
        <f t="shared" si="2"/>
        <v>3</v>
      </c>
      <c r="AB5" s="22">
        <f>V10</f>
        <v>1</v>
      </c>
      <c r="AC5" s="22">
        <f t="shared" si="3"/>
        <v>3</v>
      </c>
      <c r="AD5" s="23">
        <f t="shared" si="4"/>
        <v>-2.108</v>
      </c>
      <c r="AE5" s="9" t="str">
        <f t="shared" si="5"/>
        <v>Willem</v>
      </c>
      <c r="AF5" s="13"/>
      <c r="AG5" s="24">
        <v>1.893</v>
      </c>
      <c r="AH5" s="25" t="s">
        <v>55</v>
      </c>
      <c r="AI5" s="26" t="s">
        <v>10</v>
      </c>
    </row>
    <row r="6" ht="12.75" customHeight="1">
      <c r="H6" s="28" t="s">
        <v>13</v>
      </c>
      <c r="L6" s="1" t="s">
        <v>14</v>
      </c>
      <c r="M6" s="6" t="str">
        <f>C85</f>
        <v>Maarten</v>
      </c>
      <c r="N6" s="7" t="str">
        <f>E85</f>
        <v>Jesse</v>
      </c>
      <c r="O6" s="8" t="str">
        <f>if(AND(C101 = 0, F101 = 0), "Pending", "")</f>
        <v/>
      </c>
      <c r="S6" s="17"/>
      <c r="T6" s="18" t="str">
        <f t="shared" si="1"/>
        <v>Eva</v>
      </c>
      <c r="U6" s="20">
        <f>I102</f>
        <v>1</v>
      </c>
      <c r="V6" s="20">
        <f>O82</f>
        <v>1</v>
      </c>
      <c r="W6" s="27"/>
      <c r="X6" s="20">
        <f>F82</f>
        <v>1</v>
      </c>
      <c r="Y6" s="20">
        <f>R42</f>
        <v>1</v>
      </c>
      <c r="Z6" s="20">
        <f>I42</f>
        <v>1</v>
      </c>
      <c r="AA6" s="21">
        <f t="shared" si="2"/>
        <v>5</v>
      </c>
      <c r="AB6" s="22">
        <f>W10</f>
        <v>0</v>
      </c>
      <c r="AC6" s="22">
        <f t="shared" si="3"/>
        <v>5</v>
      </c>
      <c r="AD6" s="23">
        <f t="shared" si="4"/>
        <v>-5.153</v>
      </c>
      <c r="AE6" s="9" t="str">
        <f t="shared" si="5"/>
        <v>Eva</v>
      </c>
      <c r="AF6" s="13"/>
      <c r="AG6" s="24">
        <v>0.868</v>
      </c>
      <c r="AH6" s="9" t="s">
        <v>56</v>
      </c>
      <c r="AI6" s="26" t="s">
        <v>16</v>
      </c>
    </row>
    <row r="7" ht="12.75" customHeight="1">
      <c r="H7" s="29"/>
      <c r="L7" s="1" t="s">
        <v>17</v>
      </c>
      <c r="M7" s="6" t="str">
        <f>C105</f>
        <v>Arjan</v>
      </c>
      <c r="N7" s="7" t="str">
        <f>E105</f>
        <v>Willem</v>
      </c>
      <c r="O7" s="8" t="str">
        <f>if(AND(C121 = 0, F121 = 0), "Pending", "")</f>
        <v/>
      </c>
      <c r="S7" s="17"/>
      <c r="T7" s="18" t="str">
        <f t="shared" si="1"/>
        <v>Rory</v>
      </c>
      <c r="U7" s="20">
        <f>O62</f>
        <v>-1</v>
      </c>
      <c r="V7" s="20">
        <f>I122</f>
        <v>0</v>
      </c>
      <c r="W7" s="20">
        <f>C82</f>
        <v>-1</v>
      </c>
      <c r="X7" s="27"/>
      <c r="Y7" s="20">
        <f>L62</f>
        <v>1</v>
      </c>
      <c r="Z7" s="20">
        <f>R102</f>
        <v>-1</v>
      </c>
      <c r="AA7" s="21">
        <f t="shared" si="2"/>
        <v>1</v>
      </c>
      <c r="AB7" s="22">
        <f>X10</f>
        <v>3</v>
      </c>
      <c r="AC7" s="22">
        <f t="shared" si="3"/>
        <v>1</v>
      </c>
      <c r="AD7" s="23">
        <f t="shared" si="4"/>
        <v>1.893</v>
      </c>
      <c r="AE7" s="9" t="str">
        <f t="shared" si="5"/>
        <v>Rory</v>
      </c>
      <c r="AF7" s="13"/>
      <c r="AG7" s="24">
        <v>-1.087</v>
      </c>
      <c r="AH7" s="30" t="s">
        <v>57</v>
      </c>
    </row>
    <row r="8" ht="12.75" customHeight="1">
      <c r="H8" s="31" t="s">
        <v>56</v>
      </c>
      <c r="L8" s="1" t="s">
        <v>20</v>
      </c>
      <c r="M8" s="6" t="str">
        <f>I25</f>
        <v>Maarten</v>
      </c>
      <c r="N8" s="7" t="str">
        <f>K25</f>
        <v>Eva</v>
      </c>
      <c r="O8" s="8" t="str">
        <f>if(AND(I41 = 0, L41 = 0), "Pending", "")</f>
        <v/>
      </c>
      <c r="S8" s="17"/>
      <c r="T8" s="18" t="str">
        <f t="shared" si="1"/>
        <v>Jesse</v>
      </c>
      <c r="U8" s="20">
        <f>O122</f>
        <v>-1</v>
      </c>
      <c r="V8" s="20">
        <f>C62</f>
        <v>-1</v>
      </c>
      <c r="W8" s="20">
        <f>O42</f>
        <v>-1</v>
      </c>
      <c r="X8" s="20">
        <f>I62</f>
        <v>-1</v>
      </c>
      <c r="Y8" s="27"/>
      <c r="Z8" s="20">
        <f>C102</f>
        <v>-1</v>
      </c>
      <c r="AA8" s="21">
        <f t="shared" si="2"/>
        <v>0</v>
      </c>
      <c r="AB8" s="22">
        <f>Y10</f>
        <v>5</v>
      </c>
      <c r="AC8" s="22">
        <f t="shared" si="3"/>
        <v>0</v>
      </c>
      <c r="AD8" s="23">
        <f t="shared" si="4"/>
        <v>4.927</v>
      </c>
      <c r="AE8" s="9" t="str">
        <f t="shared" si="5"/>
        <v>Jesse</v>
      </c>
      <c r="AF8" s="13"/>
      <c r="AG8" s="24">
        <v>-2.108</v>
      </c>
      <c r="AH8" s="30" t="s">
        <v>58</v>
      </c>
    </row>
    <row r="9" ht="12.75" customHeight="1">
      <c r="H9" s="31" t="s">
        <v>58</v>
      </c>
      <c r="L9" s="1" t="s">
        <v>21</v>
      </c>
      <c r="M9" s="6" t="str">
        <f>I45</f>
        <v>Rory</v>
      </c>
      <c r="N9" s="7" t="str">
        <f>K45</f>
        <v>Jesse</v>
      </c>
      <c r="O9" s="8" t="str">
        <f>if(AND(I61 = 0, L61 = 0), "Pending", "")</f>
        <v/>
      </c>
      <c r="S9" s="17"/>
      <c r="T9" s="18" t="str">
        <f t="shared" si="1"/>
        <v>Maarten</v>
      </c>
      <c r="U9" s="20">
        <f>F42</f>
        <v>1</v>
      </c>
      <c r="V9" s="20">
        <f>I82</f>
        <v>-1</v>
      </c>
      <c r="W9" s="20">
        <f>L42</f>
        <v>-1</v>
      </c>
      <c r="X9" s="20">
        <f>O102</f>
        <v>1</v>
      </c>
      <c r="Y9" s="20">
        <f>F102</f>
        <v>1</v>
      </c>
      <c r="Z9" s="27"/>
      <c r="AA9" s="21">
        <f t="shared" si="2"/>
        <v>3</v>
      </c>
      <c r="AB9" s="22">
        <f>Z10</f>
        <v>2</v>
      </c>
      <c r="AC9" s="22">
        <f t="shared" si="3"/>
        <v>3</v>
      </c>
      <c r="AD9" s="23">
        <f t="shared" si="4"/>
        <v>-1.087</v>
      </c>
      <c r="AE9" s="9" t="str">
        <f t="shared" si="5"/>
        <v>Maarten</v>
      </c>
      <c r="AF9" s="13"/>
      <c r="AG9" s="24">
        <v>-5.153</v>
      </c>
      <c r="AH9" s="30" t="s">
        <v>59</v>
      </c>
    </row>
    <row r="10" ht="12.75" customHeight="1">
      <c r="H10" s="31" t="s">
        <v>59</v>
      </c>
      <c r="L10" s="1" t="s">
        <v>23</v>
      </c>
      <c r="M10" s="6" t="str">
        <f>I65</f>
        <v>Willem</v>
      </c>
      <c r="N10" s="7" t="str">
        <f>K65</f>
        <v>Maarten</v>
      </c>
      <c r="O10" s="8" t="str">
        <f>if(AND(I81 = 0, L81 = 0), "Pending", "")</f>
        <v/>
      </c>
      <c r="S10" s="17"/>
      <c r="T10" s="18" t="s">
        <v>24</v>
      </c>
      <c r="U10" s="11">
        <f t="shared" ref="U10:Z10" si="6">SUMIF(U4:U9, "&gt;0" ,U4:U9)</f>
        <v>3</v>
      </c>
      <c r="V10" s="11">
        <f t="shared" si="6"/>
        <v>1</v>
      </c>
      <c r="W10" s="11">
        <f t="shared" si="6"/>
        <v>0</v>
      </c>
      <c r="X10" s="11">
        <f t="shared" si="6"/>
        <v>3</v>
      </c>
      <c r="Y10" s="11">
        <f t="shared" si="6"/>
        <v>5</v>
      </c>
      <c r="Z10" s="11">
        <f t="shared" si="6"/>
        <v>2</v>
      </c>
      <c r="AA10" s="33"/>
      <c r="AB10" s="13"/>
      <c r="AC10" s="13"/>
      <c r="AD10" s="13"/>
      <c r="AE10" s="13"/>
      <c r="AF10" s="13"/>
      <c r="AG10" s="13"/>
      <c r="AH10" s="13"/>
    </row>
    <row r="11" ht="12.75" customHeight="1">
      <c r="H11" s="31" t="s">
        <v>55</v>
      </c>
      <c r="L11" s="1" t="s">
        <v>25</v>
      </c>
      <c r="M11" s="6" t="str">
        <f>I85</f>
        <v>Arjan</v>
      </c>
      <c r="N11" s="7" t="str">
        <f>K85</f>
        <v>Eva</v>
      </c>
      <c r="O11" s="8" t="str">
        <f>if(AND(I101 = 0, L101 = 0), "Pending", "")</f>
        <v/>
      </c>
      <c r="S11" s="1"/>
      <c r="T11" s="9"/>
      <c r="U11" s="11" t="str">
        <f t="shared" ref="U11:Z11" si="7">U3</f>
        <v>Arjan</v>
      </c>
      <c r="V11" s="11" t="str">
        <f t="shared" si="7"/>
        <v>Willem</v>
      </c>
      <c r="W11" s="11" t="str">
        <f t="shared" si="7"/>
        <v>Eva</v>
      </c>
      <c r="X11" s="11" t="str">
        <f t="shared" si="7"/>
        <v>Rory</v>
      </c>
      <c r="Y11" s="11" t="str">
        <f t="shared" si="7"/>
        <v>Jesse</v>
      </c>
      <c r="Z11" s="11" t="str">
        <f t="shared" si="7"/>
        <v>Maarten</v>
      </c>
      <c r="AA11" s="33"/>
      <c r="AB11" s="13"/>
      <c r="AC11" s="13"/>
      <c r="AD11" s="13"/>
      <c r="AE11" s="13"/>
      <c r="AF11" s="13"/>
      <c r="AG11" s="13"/>
      <c r="AH11" s="13"/>
    </row>
    <row r="12" ht="12.75" customHeight="1">
      <c r="H12" s="31" t="s">
        <v>54</v>
      </c>
      <c r="L12" s="1" t="s">
        <v>26</v>
      </c>
      <c r="M12" s="6" t="str">
        <f>I105</f>
        <v>Willem</v>
      </c>
      <c r="N12" s="7" t="str">
        <f>K105</f>
        <v>Rory</v>
      </c>
      <c r="O12" s="8" t="str">
        <f>if(AND(I121 = 0, L121 = 0), "Pending", "")</f>
        <v/>
      </c>
      <c r="AA12" s="2"/>
    </row>
    <row r="13" ht="12.75" customHeight="1">
      <c r="H13" s="31" t="s">
        <v>57</v>
      </c>
      <c r="L13" s="1" t="s">
        <v>27</v>
      </c>
      <c r="M13" s="6" t="str">
        <f>O25</f>
        <v>Eva</v>
      </c>
      <c r="N13" s="7" t="str">
        <f>Q25</f>
        <v>Jesse</v>
      </c>
      <c r="O13" s="8" t="str">
        <f>if(AND(O41 = 0, R41 = 0), "Pending", "")</f>
        <v/>
      </c>
      <c r="S13" s="1"/>
      <c r="T13" s="35" t="s">
        <v>28</v>
      </c>
      <c r="U13" s="36" t="str">
        <f>T14</f>
        <v>Arjan</v>
      </c>
      <c r="V13" s="37" t="str">
        <f>T15</f>
        <v>Willem</v>
      </c>
      <c r="W13" s="36" t="str">
        <f>T16</f>
        <v>Eva</v>
      </c>
      <c r="X13" s="37" t="str">
        <f>T17</f>
        <v>Rory</v>
      </c>
      <c r="Y13" s="36" t="str">
        <f>T18</f>
        <v>Jesse</v>
      </c>
      <c r="Z13" s="37" t="str">
        <f>T19</f>
        <v>Maarten</v>
      </c>
      <c r="AA13" s="35" t="s">
        <v>28</v>
      </c>
      <c r="AB13" s="37"/>
      <c r="AC13" s="37"/>
      <c r="AD13" s="37" t="s">
        <v>5</v>
      </c>
      <c r="AE13" s="38"/>
      <c r="AF13" s="38"/>
      <c r="AG13" s="39" t="s">
        <v>6</v>
      </c>
      <c r="AH13" s="15"/>
      <c r="AI13" s="40" t="s">
        <v>29</v>
      </c>
    </row>
    <row r="14" ht="12.75" customHeight="1">
      <c r="L14" s="1" t="s">
        <v>30</v>
      </c>
      <c r="M14" s="6" t="str">
        <f>O45</f>
        <v>Arjan</v>
      </c>
      <c r="N14" s="7" t="str">
        <f>Q45</f>
        <v>Rory</v>
      </c>
      <c r="O14" s="8" t="str">
        <f>if(AND(O61 = 0, R61 = 0), "Pending", "")</f>
        <v/>
      </c>
      <c r="S14" s="17"/>
      <c r="T14" s="42" t="str">
        <f t="shared" ref="T14:T19" si="8">H8</f>
        <v>Arjan</v>
      </c>
      <c r="U14" s="43"/>
      <c r="V14" s="44">
        <f>E121</f>
        <v>1</v>
      </c>
      <c r="W14" s="44">
        <f>K101</f>
        <v>4</v>
      </c>
      <c r="X14" s="44">
        <f>Q61</f>
        <v>1</v>
      </c>
      <c r="Y14" s="44">
        <f>Q121</f>
        <v>5</v>
      </c>
      <c r="Z14" s="44">
        <f>D41</f>
        <v>2</v>
      </c>
      <c r="AA14" s="45">
        <f t="shared" ref="AA14:AA19" si="9">SUMIF(U14:Z14, "&gt;0")</f>
        <v>13</v>
      </c>
      <c r="AB14" s="46"/>
      <c r="AC14" s="46"/>
      <c r="AD14" s="46">
        <f t="shared" ref="AD14:AD19" si="10">-AA14</f>
        <v>-13</v>
      </c>
      <c r="AE14" s="47" t="str">
        <f t="shared" ref="AE14:AE19" si="11">T14</f>
        <v>Arjan</v>
      </c>
      <c r="AF14" s="38"/>
      <c r="AG14" s="42">
        <f t="array" ref="AG14:AH19">SORT(AD14:AE19, 1, FALSE)</f>
        <v>-8</v>
      </c>
      <c r="AH14" s="48" t="s">
        <v>57</v>
      </c>
      <c r="AI14" s="49" t="s">
        <v>10</v>
      </c>
    </row>
    <row r="15" ht="12.75" customHeight="1">
      <c r="L15" s="1" t="s">
        <v>31</v>
      </c>
      <c r="M15" s="6" t="str">
        <f>O65</f>
        <v>Willem</v>
      </c>
      <c r="N15" s="7" t="str">
        <f>Q65</f>
        <v>Eva</v>
      </c>
      <c r="O15" s="8" t="str">
        <f>if(AND(O81 = 0, R81 = 0), "Pending", "")</f>
        <v/>
      </c>
      <c r="S15" s="17"/>
      <c r="T15" s="42" t="str">
        <f t="shared" si="8"/>
        <v>Willem</v>
      </c>
      <c r="U15" s="44">
        <f>D121</f>
        <v>1</v>
      </c>
      <c r="V15" s="43"/>
      <c r="W15" s="44">
        <f>Q81</f>
        <v>3</v>
      </c>
      <c r="X15" s="44">
        <f>K121</f>
        <v>5</v>
      </c>
      <c r="Y15" s="44">
        <f>E61</f>
        <v>1</v>
      </c>
      <c r="Z15" s="44">
        <f>K81</f>
        <v>1</v>
      </c>
      <c r="AA15" s="45">
        <f t="shared" si="9"/>
        <v>11</v>
      </c>
      <c r="AB15" s="46"/>
      <c r="AC15" s="46"/>
      <c r="AD15" s="46">
        <f t="shared" si="10"/>
        <v>-11</v>
      </c>
      <c r="AE15" s="47" t="str">
        <f t="shared" si="11"/>
        <v>Willem</v>
      </c>
      <c r="AF15" s="38"/>
      <c r="AG15" s="42">
        <v>-9.0</v>
      </c>
      <c r="AH15" s="48" t="s">
        <v>59</v>
      </c>
      <c r="AI15" s="49" t="s">
        <v>10</v>
      </c>
    </row>
    <row r="16" ht="12.75" customHeight="1">
      <c r="L16" s="1" t="s">
        <v>32</v>
      </c>
      <c r="M16" s="6" t="str">
        <f>O85</f>
        <v>Rory</v>
      </c>
      <c r="N16" s="7" t="str">
        <f>Q85</f>
        <v>Maarten</v>
      </c>
      <c r="O16" s="8" t="str">
        <f>if(AND(O101 = 0, R101 = 0), "Pending", "")</f>
        <v/>
      </c>
      <c r="S16" s="17"/>
      <c r="T16" s="42" t="str">
        <f t="shared" si="8"/>
        <v>Eva</v>
      </c>
      <c r="U16" s="44">
        <f>J101</f>
        <v>4</v>
      </c>
      <c r="V16" s="44">
        <f>P81</f>
        <v>3</v>
      </c>
      <c r="W16" s="43"/>
      <c r="X16" s="44">
        <f>E81</f>
        <v>0</v>
      </c>
      <c r="Y16" s="44">
        <f>Q41</f>
        <v>2</v>
      </c>
      <c r="Z16" s="44">
        <f>J41</f>
        <v>0</v>
      </c>
      <c r="AA16" s="45">
        <f t="shared" si="9"/>
        <v>9</v>
      </c>
      <c r="AB16" s="46"/>
      <c r="AC16" s="46"/>
      <c r="AD16" s="46">
        <f t="shared" si="10"/>
        <v>-9</v>
      </c>
      <c r="AE16" s="47" t="str">
        <f t="shared" si="11"/>
        <v>Eva</v>
      </c>
      <c r="AF16" s="38"/>
      <c r="AG16" s="42">
        <v>-11.0</v>
      </c>
      <c r="AH16" s="47" t="s">
        <v>58</v>
      </c>
      <c r="AI16" s="49" t="s">
        <v>16</v>
      </c>
    </row>
    <row r="17" ht="12.75" customHeight="1">
      <c r="L17" s="1" t="s">
        <v>33</v>
      </c>
      <c r="M17" s="6" t="str">
        <f>O105</f>
        <v>Arjan</v>
      </c>
      <c r="N17" s="7" t="str">
        <f>Q105</f>
        <v>Jesse</v>
      </c>
      <c r="O17" s="8" t="str">
        <f>if(AND(O121 = 0, R121 = 0), "Pending", "")</f>
        <v/>
      </c>
      <c r="S17" s="17"/>
      <c r="T17" s="42" t="str">
        <f t="shared" si="8"/>
        <v>Rory</v>
      </c>
      <c r="U17" s="44">
        <f>P61</f>
        <v>1</v>
      </c>
      <c r="V17" s="44">
        <f>J121</f>
        <v>5</v>
      </c>
      <c r="W17" s="44">
        <f>D81</f>
        <v>0</v>
      </c>
      <c r="X17" s="43"/>
      <c r="Y17" s="44">
        <f>K61</f>
        <v>3</v>
      </c>
      <c r="Z17" s="44">
        <f>Q101</f>
        <v>4</v>
      </c>
      <c r="AA17" s="45">
        <f t="shared" si="9"/>
        <v>13</v>
      </c>
      <c r="AB17" s="46"/>
      <c r="AC17" s="46"/>
      <c r="AD17" s="46">
        <f t="shared" si="10"/>
        <v>-13</v>
      </c>
      <c r="AE17" s="47" t="str">
        <f t="shared" si="11"/>
        <v>Rory</v>
      </c>
      <c r="AF17" s="38"/>
      <c r="AG17" s="42">
        <v>-12.0</v>
      </c>
      <c r="AH17" s="50" t="s">
        <v>54</v>
      </c>
      <c r="AI17" s="49"/>
    </row>
    <row r="18" ht="12.75" customHeight="1">
      <c r="S18" s="17"/>
      <c r="T18" s="42" t="str">
        <f t="shared" si="8"/>
        <v>Jesse</v>
      </c>
      <c r="U18" s="44">
        <f>P121</f>
        <v>5</v>
      </c>
      <c r="V18" s="44">
        <f>D61</f>
        <v>1</v>
      </c>
      <c r="W18" s="44">
        <f>P41</f>
        <v>2</v>
      </c>
      <c r="X18" s="44">
        <f>J61</f>
        <v>3</v>
      </c>
      <c r="Y18" s="43"/>
      <c r="Z18" s="44">
        <f>D101</f>
        <v>1</v>
      </c>
      <c r="AA18" s="45">
        <f t="shared" si="9"/>
        <v>12</v>
      </c>
      <c r="AB18" s="46"/>
      <c r="AC18" s="46"/>
      <c r="AD18" s="46">
        <f t="shared" si="10"/>
        <v>-12</v>
      </c>
      <c r="AE18" s="47" t="str">
        <f t="shared" si="11"/>
        <v>Jesse</v>
      </c>
      <c r="AF18" s="38"/>
      <c r="AG18" s="42">
        <v>-13.0</v>
      </c>
      <c r="AH18" s="50" t="s">
        <v>56</v>
      </c>
      <c r="AI18" s="49"/>
    </row>
    <row r="19" ht="12.75" customHeight="1">
      <c r="S19" s="17"/>
      <c r="T19" s="42" t="str">
        <f t="shared" si="8"/>
        <v>Maarten</v>
      </c>
      <c r="U19" s="44">
        <f>E41</f>
        <v>2</v>
      </c>
      <c r="V19" s="44">
        <f>J81</f>
        <v>1</v>
      </c>
      <c r="W19" s="44">
        <f>K41</f>
        <v>0</v>
      </c>
      <c r="X19" s="44">
        <f>P101</f>
        <v>4</v>
      </c>
      <c r="Y19" s="44">
        <f>E101</f>
        <v>1</v>
      </c>
      <c r="Z19" s="43"/>
      <c r="AA19" s="45">
        <f t="shared" si="9"/>
        <v>8</v>
      </c>
      <c r="AB19" s="46"/>
      <c r="AC19" s="46"/>
      <c r="AD19" s="46">
        <f t="shared" si="10"/>
        <v>-8</v>
      </c>
      <c r="AE19" s="47" t="str">
        <f t="shared" si="11"/>
        <v>Maarten</v>
      </c>
      <c r="AF19" s="38"/>
      <c r="AG19" s="42">
        <v>-13.0</v>
      </c>
      <c r="AH19" s="50" t="s">
        <v>55</v>
      </c>
      <c r="AI19" s="49"/>
    </row>
    <row r="20" ht="12.75" customHeight="1">
      <c r="S20" s="17"/>
      <c r="T20" s="51" t="s">
        <v>28</v>
      </c>
      <c r="U20" s="37">
        <f t="shared" ref="U20:Z20" si="12">SUM(U14:U19)</f>
        <v>13</v>
      </c>
      <c r="V20" s="37">
        <f t="shared" si="12"/>
        <v>11</v>
      </c>
      <c r="W20" s="37">
        <f t="shared" si="12"/>
        <v>9</v>
      </c>
      <c r="X20" s="37">
        <f t="shared" si="12"/>
        <v>13</v>
      </c>
      <c r="Y20" s="37">
        <f t="shared" si="12"/>
        <v>12</v>
      </c>
      <c r="Z20" s="37">
        <f t="shared" si="12"/>
        <v>8</v>
      </c>
      <c r="AA20" s="38"/>
      <c r="AB20" s="38"/>
      <c r="AC20" s="38"/>
      <c r="AD20" s="38"/>
      <c r="AE20" s="38"/>
      <c r="AF20" s="38"/>
      <c r="AG20" s="38"/>
      <c r="AH20" s="38"/>
      <c r="AI20" s="49"/>
    </row>
    <row r="21" ht="12.75" customHeight="1">
      <c r="S21" s="1"/>
      <c r="T21" s="38"/>
      <c r="U21" s="37" t="str">
        <f t="shared" ref="U21:Z21" si="13">U13</f>
        <v>Arjan</v>
      </c>
      <c r="V21" s="37" t="str">
        <f t="shared" si="13"/>
        <v>Willem</v>
      </c>
      <c r="W21" s="37" t="str">
        <f t="shared" si="13"/>
        <v>Eva</v>
      </c>
      <c r="X21" s="37" t="str">
        <f t="shared" si="13"/>
        <v>Rory</v>
      </c>
      <c r="Y21" s="37" t="str">
        <f t="shared" si="13"/>
        <v>Jesse</v>
      </c>
      <c r="Z21" s="37" t="str">
        <f t="shared" si="13"/>
        <v>Maarten</v>
      </c>
      <c r="AA21" s="38"/>
      <c r="AB21" s="38"/>
      <c r="AC21" s="38"/>
      <c r="AD21" s="38"/>
      <c r="AE21" s="38"/>
      <c r="AF21" s="38"/>
      <c r="AG21" s="38"/>
      <c r="AH21" s="38"/>
      <c r="AI21" s="49"/>
    </row>
    <row r="22" ht="12.75" customHeight="1">
      <c r="AD22" s="52">
        <v>50.0</v>
      </c>
    </row>
    <row r="23" ht="12.75" customHeight="1">
      <c r="A23" s="17"/>
      <c r="B23" s="18"/>
      <c r="C23" s="9"/>
      <c r="D23" s="53" t="s">
        <v>13</v>
      </c>
      <c r="E23" s="15"/>
      <c r="F23" s="12"/>
      <c r="H23" s="18"/>
      <c r="I23" s="9"/>
      <c r="J23" s="53" t="s">
        <v>13</v>
      </c>
      <c r="K23" s="15"/>
      <c r="L23" s="12"/>
      <c r="N23" s="18"/>
      <c r="O23" s="9"/>
      <c r="P23" s="53" t="s">
        <v>13</v>
      </c>
      <c r="Q23" s="15"/>
      <c r="R23" s="12"/>
      <c r="T23" s="55" t="s">
        <v>34</v>
      </c>
      <c r="U23" s="10" t="str">
        <f>T24</f>
        <v>Arjan</v>
      </c>
      <c r="V23" s="11" t="str">
        <f>T25</f>
        <v>Willem</v>
      </c>
      <c r="W23" s="10" t="str">
        <f>T26</f>
        <v>Eva</v>
      </c>
      <c r="X23" s="11" t="str">
        <f>T27</f>
        <v>Rory</v>
      </c>
      <c r="Y23" s="10" t="str">
        <f>T28</f>
        <v>Jesse</v>
      </c>
      <c r="Z23" s="11" t="str">
        <f>T29</f>
        <v>Maarten</v>
      </c>
      <c r="AA23" s="12" t="s">
        <v>35</v>
      </c>
      <c r="AB23" s="11" t="s">
        <v>3</v>
      </c>
      <c r="AC23" s="11" t="s">
        <v>4</v>
      </c>
      <c r="AD23" s="11" t="s">
        <v>5</v>
      </c>
      <c r="AE23" s="13"/>
      <c r="AF23" s="13"/>
      <c r="AG23" s="14" t="s">
        <v>6</v>
      </c>
      <c r="AH23" s="15"/>
      <c r="AI23" s="56" t="s">
        <v>29</v>
      </c>
    </row>
    <row r="24" ht="12.75" customHeight="1">
      <c r="S24" s="72"/>
      <c r="T24" s="57" t="str">
        <f t="shared" ref="T24:T29" si="14">H8</f>
        <v>Arjan</v>
      </c>
      <c r="U24" s="19"/>
      <c r="V24" s="20">
        <f>F121</f>
        <v>8</v>
      </c>
      <c r="W24" s="20">
        <f>L101</f>
        <v>0</v>
      </c>
      <c r="X24" s="20">
        <f>R61</f>
        <v>14</v>
      </c>
      <c r="Y24" s="20">
        <f>R121</f>
        <v>12</v>
      </c>
      <c r="Z24" s="20">
        <f>C41</f>
        <v>7</v>
      </c>
      <c r="AA24" s="21">
        <f t="shared" ref="AA24:AA29" si="15">SUMIF(U24:Z24, "&gt;0")</f>
        <v>41</v>
      </c>
      <c r="AB24" s="22">
        <f>U30</f>
        <v>39</v>
      </c>
      <c r="AC24" s="22">
        <f t="shared" ref="AC24:AC29" si="16">AA24</f>
        <v>41</v>
      </c>
      <c r="AD24" s="22">
        <f t="shared" ref="AD24:AD29" si="17">AB24-AC24</f>
        <v>-2</v>
      </c>
      <c r="AE24" s="9" t="str">
        <f t="shared" ref="AE24:AE29" si="18">T24</f>
        <v>Arjan</v>
      </c>
      <c r="AF24" s="13"/>
      <c r="AG24" s="9">
        <f t="array" ref="AG24:AH29">SORT(AD24:AE29, 1, FALSE)</f>
        <v>47</v>
      </c>
      <c r="AH24" s="25" t="s">
        <v>54</v>
      </c>
      <c r="AI24" s="8" t="s">
        <v>10</v>
      </c>
    </row>
    <row r="25" ht="12.75" customHeight="1">
      <c r="A25" s="17"/>
      <c r="B25" s="18" t="s">
        <v>0</v>
      </c>
      <c r="C25" s="58" t="str">
        <f>T19</f>
        <v>Maarten</v>
      </c>
      <c r="D25" s="15"/>
      <c r="E25" s="59" t="str">
        <f>T14</f>
        <v>Arjan</v>
      </c>
      <c r="F25" s="15"/>
      <c r="H25" s="18" t="s">
        <v>20</v>
      </c>
      <c r="I25" s="58" t="str">
        <f>T19</f>
        <v>Maarten</v>
      </c>
      <c r="J25" s="15"/>
      <c r="K25" s="59" t="str">
        <f>T16</f>
        <v>Eva</v>
      </c>
      <c r="L25" s="15"/>
      <c r="N25" s="18" t="s">
        <v>27</v>
      </c>
      <c r="O25" s="58" t="str">
        <f>T16</f>
        <v>Eva</v>
      </c>
      <c r="P25" s="15"/>
      <c r="Q25" s="59" t="str">
        <f>T18</f>
        <v>Jesse</v>
      </c>
      <c r="R25" s="15"/>
      <c r="T25" s="57" t="str">
        <f t="shared" si="14"/>
        <v>Willem</v>
      </c>
      <c r="U25" s="20">
        <f>C121</f>
        <v>11</v>
      </c>
      <c r="V25" s="27"/>
      <c r="W25" s="20">
        <f>R81</f>
        <v>2</v>
      </c>
      <c r="X25" s="20">
        <f>L121</f>
        <v>6</v>
      </c>
      <c r="Y25" s="20">
        <f>F61</f>
        <v>13</v>
      </c>
      <c r="Z25" s="20">
        <f>L81</f>
        <v>12</v>
      </c>
      <c r="AA25" s="21">
        <f t="shared" si="15"/>
        <v>44</v>
      </c>
      <c r="AB25" s="22">
        <f>V30</f>
        <v>46</v>
      </c>
      <c r="AC25" s="22">
        <f t="shared" si="16"/>
        <v>44</v>
      </c>
      <c r="AD25" s="22">
        <f t="shared" si="17"/>
        <v>2</v>
      </c>
      <c r="AE25" s="9" t="str">
        <f t="shared" si="18"/>
        <v>Willem</v>
      </c>
      <c r="AF25" s="13"/>
      <c r="AG25" s="9">
        <v>23.0</v>
      </c>
      <c r="AH25" s="25" t="s">
        <v>55</v>
      </c>
      <c r="AI25" s="8" t="s">
        <v>10</v>
      </c>
    </row>
    <row r="26" ht="12.75" customHeight="1">
      <c r="A26" s="17"/>
      <c r="B26" s="18" t="s">
        <v>36</v>
      </c>
      <c r="C26" s="13" t="str">
        <f t="shared" ref="C26:C40" si="19">IF(AND(D26&gt;0,E26&gt;0), 0, D26)</f>
        <v/>
      </c>
      <c r="D26" s="60"/>
      <c r="E26" s="61">
        <v>2.0</v>
      </c>
      <c r="F26" s="62">
        <f t="shared" ref="F26:F40" si="20">IF(AND(D26&gt;0,E26&gt;0), 0, E26)</f>
        <v>2</v>
      </c>
      <c r="H26" s="18" t="s">
        <v>36</v>
      </c>
      <c r="I26" s="13" t="str">
        <f t="shared" ref="I26:I40" si="21">IF(AND(J26&gt;0,K26&gt;0), 0, J26)</f>
        <v/>
      </c>
      <c r="J26" s="60"/>
      <c r="K26" s="61"/>
      <c r="L26" s="62" t="str">
        <f t="shared" ref="L26:L40" si="22">IF(AND(J26&gt;0,K26&gt;0), 0, K26)</f>
        <v/>
      </c>
      <c r="N26" s="18" t="s">
        <v>36</v>
      </c>
      <c r="O26" s="13">
        <f t="shared" ref="O26:O40" si="23">IF(AND(P26&gt;0,Q26&gt;0), 0, P26)</f>
        <v>0</v>
      </c>
      <c r="P26" s="60">
        <v>2.0</v>
      </c>
      <c r="Q26" s="61">
        <v>2.0</v>
      </c>
      <c r="R26" s="62">
        <f t="shared" ref="R26:R40" si="24">IF(AND(P26&gt;0,Q26&gt;0), 0, Q26)</f>
        <v>0</v>
      </c>
      <c r="T26" s="57" t="str">
        <f t="shared" si="14"/>
        <v>Eva</v>
      </c>
      <c r="U26" s="20">
        <f>I101</f>
        <v>11</v>
      </c>
      <c r="V26" s="20">
        <f>O81</f>
        <v>16</v>
      </c>
      <c r="W26" s="27"/>
      <c r="X26" s="20">
        <f>F81</f>
        <v>16</v>
      </c>
      <c r="Y26" s="20">
        <f>R41</f>
        <v>16</v>
      </c>
      <c r="Z26" s="20">
        <f>I41</f>
        <v>14</v>
      </c>
      <c r="AA26" s="21">
        <f t="shared" si="15"/>
        <v>73</v>
      </c>
      <c r="AB26" s="22">
        <f>W30</f>
        <v>10</v>
      </c>
      <c r="AC26" s="22">
        <f t="shared" si="16"/>
        <v>73</v>
      </c>
      <c r="AD26" s="22">
        <f t="shared" si="17"/>
        <v>-63</v>
      </c>
      <c r="AE26" s="9" t="str">
        <f t="shared" si="18"/>
        <v>Eva</v>
      </c>
      <c r="AF26" s="13"/>
      <c r="AG26" s="9">
        <v>2.0</v>
      </c>
      <c r="AH26" s="9" t="s">
        <v>58</v>
      </c>
      <c r="AI26" s="8" t="s">
        <v>16</v>
      </c>
    </row>
    <row r="27" ht="12.75" customHeight="1">
      <c r="A27" s="17"/>
      <c r="B27" s="18" t="s">
        <v>37</v>
      </c>
      <c r="C27" s="13" t="str">
        <f t="shared" si="19"/>
        <v/>
      </c>
      <c r="D27" s="65"/>
      <c r="E27" s="61">
        <v>3.0</v>
      </c>
      <c r="F27" s="62">
        <f t="shared" si="20"/>
        <v>3</v>
      </c>
      <c r="H27" s="18" t="s">
        <v>37</v>
      </c>
      <c r="I27" s="13">
        <f t="shared" si="21"/>
        <v>3</v>
      </c>
      <c r="J27" s="60">
        <v>3.0</v>
      </c>
      <c r="K27" s="64"/>
      <c r="L27" s="62" t="str">
        <f t="shared" si="22"/>
        <v/>
      </c>
      <c r="N27" s="18" t="s">
        <v>37</v>
      </c>
      <c r="O27" s="13" t="str">
        <f t="shared" si="23"/>
        <v/>
      </c>
      <c r="P27" s="65"/>
      <c r="Q27" s="61">
        <v>3.0</v>
      </c>
      <c r="R27" s="62">
        <f t="shared" si="24"/>
        <v>3</v>
      </c>
      <c r="T27" s="57" t="str">
        <f t="shared" si="14"/>
        <v>Rory</v>
      </c>
      <c r="U27" s="20">
        <f>O61</f>
        <v>6</v>
      </c>
      <c r="V27" s="20">
        <f>I121</f>
        <v>6</v>
      </c>
      <c r="W27" s="20">
        <f>C81</f>
        <v>2</v>
      </c>
      <c r="X27" s="27"/>
      <c r="Y27" s="20">
        <f>L61</f>
        <v>12</v>
      </c>
      <c r="Z27" s="20">
        <f>R101</f>
        <v>4</v>
      </c>
      <c r="AA27" s="21">
        <f t="shared" si="15"/>
        <v>30</v>
      </c>
      <c r="AB27" s="22">
        <f>X30</f>
        <v>53</v>
      </c>
      <c r="AC27" s="22">
        <f t="shared" si="16"/>
        <v>30</v>
      </c>
      <c r="AD27" s="22">
        <f t="shared" si="17"/>
        <v>23</v>
      </c>
      <c r="AE27" s="9" t="str">
        <f t="shared" si="18"/>
        <v>Rory</v>
      </c>
      <c r="AF27" s="13"/>
      <c r="AG27" s="9">
        <v>-2.0</v>
      </c>
      <c r="AH27" s="30" t="s">
        <v>56</v>
      </c>
    </row>
    <row r="28" ht="12.75" customHeight="1">
      <c r="A28" s="17"/>
      <c r="B28" s="18" t="s">
        <v>38</v>
      </c>
      <c r="C28" s="13" t="str">
        <f t="shared" si="19"/>
        <v/>
      </c>
      <c r="D28" s="60"/>
      <c r="E28" s="61">
        <v>2.0</v>
      </c>
      <c r="F28" s="62">
        <f t="shared" si="20"/>
        <v>2</v>
      </c>
      <c r="H28" s="18" t="s">
        <v>38</v>
      </c>
      <c r="I28" s="13">
        <f t="shared" si="21"/>
        <v>2</v>
      </c>
      <c r="J28" s="60">
        <v>2.0</v>
      </c>
      <c r="K28" s="64"/>
      <c r="L28" s="62" t="str">
        <f t="shared" si="22"/>
        <v/>
      </c>
      <c r="N28" s="18" t="s">
        <v>38</v>
      </c>
      <c r="O28" s="13" t="str">
        <f t="shared" si="23"/>
        <v/>
      </c>
      <c r="P28" s="60"/>
      <c r="Q28" s="61">
        <v>3.0</v>
      </c>
      <c r="R28" s="62">
        <f t="shared" si="24"/>
        <v>3</v>
      </c>
      <c r="T28" s="57" t="str">
        <f t="shared" si="14"/>
        <v>Jesse</v>
      </c>
      <c r="U28" s="20">
        <f>O121</f>
        <v>2</v>
      </c>
      <c r="V28" s="20">
        <f>C61</f>
        <v>9</v>
      </c>
      <c r="W28" s="20">
        <f>O41</f>
        <v>0</v>
      </c>
      <c r="X28" s="20">
        <f>I61</f>
        <v>4</v>
      </c>
      <c r="Y28" s="27"/>
      <c r="Z28" s="20">
        <f>C101</f>
        <v>7</v>
      </c>
      <c r="AA28" s="21">
        <f t="shared" si="15"/>
        <v>22</v>
      </c>
      <c r="AB28" s="22">
        <f>Y30</f>
        <v>69</v>
      </c>
      <c r="AC28" s="22">
        <f t="shared" si="16"/>
        <v>22</v>
      </c>
      <c r="AD28" s="22">
        <f t="shared" si="17"/>
        <v>47</v>
      </c>
      <c r="AE28" s="9" t="str">
        <f t="shared" si="18"/>
        <v>Jesse</v>
      </c>
      <c r="AF28" s="13"/>
      <c r="AG28" s="9">
        <v>-7.0</v>
      </c>
      <c r="AH28" s="30" t="s">
        <v>57</v>
      </c>
    </row>
    <row r="29" ht="12.75" customHeight="1">
      <c r="A29" s="17"/>
      <c r="B29" s="18" t="s">
        <v>39</v>
      </c>
      <c r="C29" s="13">
        <f t="shared" si="19"/>
        <v>0</v>
      </c>
      <c r="D29" s="60">
        <v>2.0</v>
      </c>
      <c r="E29" s="61">
        <v>2.0</v>
      </c>
      <c r="F29" s="62">
        <f t="shared" si="20"/>
        <v>0</v>
      </c>
      <c r="H29" s="18" t="s">
        <v>39</v>
      </c>
      <c r="I29" s="13" t="str">
        <f t="shared" si="21"/>
        <v/>
      </c>
      <c r="J29" s="65"/>
      <c r="K29" s="61">
        <v>2.0</v>
      </c>
      <c r="L29" s="62">
        <f t="shared" si="22"/>
        <v>2</v>
      </c>
      <c r="N29" s="18" t="s">
        <v>39</v>
      </c>
      <c r="O29" s="13" t="str">
        <f t="shared" si="23"/>
        <v/>
      </c>
      <c r="P29" s="65"/>
      <c r="Q29" s="61">
        <v>2.0</v>
      </c>
      <c r="R29" s="62">
        <f t="shared" si="24"/>
        <v>2</v>
      </c>
      <c r="T29" s="57" t="str">
        <f t="shared" si="14"/>
        <v>Maarten</v>
      </c>
      <c r="U29" s="20">
        <f>F41</f>
        <v>9</v>
      </c>
      <c r="V29" s="20">
        <f>I81</f>
        <v>7</v>
      </c>
      <c r="W29" s="20">
        <f>L41</f>
        <v>6</v>
      </c>
      <c r="X29" s="20">
        <f>O101</f>
        <v>13</v>
      </c>
      <c r="Y29" s="20">
        <f>F101</f>
        <v>16</v>
      </c>
      <c r="Z29" s="27"/>
      <c r="AA29" s="21">
        <f t="shared" si="15"/>
        <v>51</v>
      </c>
      <c r="AB29" s="22">
        <f>Z30</f>
        <v>44</v>
      </c>
      <c r="AC29" s="22">
        <f t="shared" si="16"/>
        <v>51</v>
      </c>
      <c r="AD29" s="22">
        <f t="shared" si="17"/>
        <v>-7</v>
      </c>
      <c r="AE29" s="9" t="str">
        <f t="shared" si="18"/>
        <v>Maarten</v>
      </c>
      <c r="AF29" s="13"/>
      <c r="AG29" s="9">
        <v>-63.0</v>
      </c>
      <c r="AH29" s="30" t="s">
        <v>59</v>
      </c>
    </row>
    <row r="30" ht="12.75" customHeight="1">
      <c r="A30" s="17"/>
      <c r="B30" s="18" t="s">
        <v>40</v>
      </c>
      <c r="C30" s="13">
        <f t="shared" si="19"/>
        <v>2</v>
      </c>
      <c r="D30" s="60">
        <v>2.0</v>
      </c>
      <c r="E30" s="64"/>
      <c r="F30" s="62" t="str">
        <f t="shared" si="20"/>
        <v/>
      </c>
      <c r="H30" s="18" t="s">
        <v>40</v>
      </c>
      <c r="I30" s="13" t="str">
        <f t="shared" si="21"/>
        <v/>
      </c>
      <c r="J30" s="65"/>
      <c r="K30" s="61">
        <v>2.0</v>
      </c>
      <c r="L30" s="62">
        <f t="shared" si="22"/>
        <v>2</v>
      </c>
      <c r="N30" s="18" t="s">
        <v>40</v>
      </c>
      <c r="O30" s="13" t="str">
        <f t="shared" si="23"/>
        <v/>
      </c>
      <c r="P30" s="66"/>
      <c r="Q30" s="69"/>
      <c r="R30" s="62" t="str">
        <f t="shared" si="24"/>
        <v/>
      </c>
      <c r="T30" s="57" t="s">
        <v>41</v>
      </c>
      <c r="U30" s="11">
        <f t="shared" ref="U30:Z30" si="25">SUM(U24:U29)</f>
        <v>39</v>
      </c>
      <c r="V30" s="11">
        <f t="shared" si="25"/>
        <v>46</v>
      </c>
      <c r="W30" s="11">
        <f t="shared" si="25"/>
        <v>10</v>
      </c>
      <c r="X30" s="11">
        <f t="shared" si="25"/>
        <v>53</v>
      </c>
      <c r="Y30" s="11">
        <f t="shared" si="25"/>
        <v>69</v>
      </c>
      <c r="Z30" s="11">
        <f t="shared" si="25"/>
        <v>44</v>
      </c>
      <c r="AA30" s="33"/>
      <c r="AB30" s="13"/>
      <c r="AC30" s="13"/>
      <c r="AD30" s="13"/>
      <c r="AE30" s="13"/>
      <c r="AF30" s="13"/>
      <c r="AG30" s="13"/>
      <c r="AH30" s="13"/>
    </row>
    <row r="31" ht="12.75" customHeight="1">
      <c r="A31" s="17"/>
      <c r="B31" s="18" t="s">
        <v>42</v>
      </c>
      <c r="C31" s="13" t="str">
        <f t="shared" si="19"/>
        <v/>
      </c>
      <c r="D31" s="65"/>
      <c r="E31" s="61">
        <v>2.0</v>
      </c>
      <c r="F31" s="62">
        <f t="shared" si="20"/>
        <v>2</v>
      </c>
      <c r="H31" s="18" t="s">
        <v>42</v>
      </c>
      <c r="I31" s="13" t="str">
        <f t="shared" si="21"/>
        <v/>
      </c>
      <c r="J31" s="65"/>
      <c r="K31" s="64"/>
      <c r="L31" s="62" t="str">
        <f t="shared" si="22"/>
        <v/>
      </c>
      <c r="N31" s="18" t="s">
        <v>42</v>
      </c>
      <c r="O31" s="13" t="str">
        <f t="shared" si="23"/>
        <v/>
      </c>
      <c r="P31" s="66"/>
      <c r="Q31" s="67">
        <v>3.0</v>
      </c>
      <c r="R31" s="62">
        <f t="shared" si="24"/>
        <v>3</v>
      </c>
      <c r="T31" s="55"/>
      <c r="U31" s="11" t="str">
        <f t="shared" ref="U31:Z31" si="26">U23</f>
        <v>Arjan</v>
      </c>
      <c r="V31" s="11" t="str">
        <f t="shared" si="26"/>
        <v>Willem</v>
      </c>
      <c r="W31" s="11" t="str">
        <f t="shared" si="26"/>
        <v>Eva</v>
      </c>
      <c r="X31" s="11" t="str">
        <f t="shared" si="26"/>
        <v>Rory</v>
      </c>
      <c r="Y31" s="11" t="str">
        <f t="shared" si="26"/>
        <v>Jesse</v>
      </c>
      <c r="Z31" s="11" t="str">
        <f t="shared" si="26"/>
        <v>Maarten</v>
      </c>
      <c r="AA31" s="33"/>
      <c r="AB31" s="13"/>
      <c r="AC31" s="13"/>
      <c r="AD31" s="13"/>
      <c r="AE31" s="13"/>
      <c r="AF31" s="13"/>
      <c r="AG31" s="13"/>
      <c r="AH31" s="13"/>
    </row>
    <row r="32" ht="12.75" customHeight="1">
      <c r="A32" s="17"/>
      <c r="B32" s="18" t="s">
        <v>43</v>
      </c>
      <c r="C32" s="13">
        <f t="shared" si="19"/>
        <v>2</v>
      </c>
      <c r="D32" s="60">
        <v>2.0</v>
      </c>
      <c r="E32" s="64"/>
      <c r="F32" s="62" t="str">
        <f t="shared" si="20"/>
        <v/>
      </c>
      <c r="H32" s="18" t="s">
        <v>43</v>
      </c>
      <c r="I32" s="13">
        <f t="shared" si="21"/>
        <v>3</v>
      </c>
      <c r="J32" s="60">
        <v>3.0</v>
      </c>
      <c r="K32" s="64"/>
      <c r="L32" s="62" t="str">
        <f t="shared" si="22"/>
        <v/>
      </c>
      <c r="N32" s="18" t="s">
        <v>43</v>
      </c>
      <c r="O32" s="13" t="str">
        <f t="shared" si="23"/>
        <v/>
      </c>
      <c r="P32" s="66"/>
      <c r="Q32" s="67">
        <v>3.0</v>
      </c>
      <c r="R32" s="62">
        <f t="shared" si="24"/>
        <v>3</v>
      </c>
      <c r="AA32" s="2"/>
    </row>
    <row r="33" ht="12.75" customHeight="1">
      <c r="A33" s="17"/>
      <c r="B33" s="18" t="s">
        <v>44</v>
      </c>
      <c r="C33" s="13">
        <f t="shared" si="19"/>
        <v>3</v>
      </c>
      <c r="D33" s="60">
        <v>3.0</v>
      </c>
      <c r="E33" s="64"/>
      <c r="F33" s="62" t="str">
        <f t="shared" si="20"/>
        <v/>
      </c>
      <c r="H33" s="18" t="s">
        <v>44</v>
      </c>
      <c r="I33" s="13" t="str">
        <f t="shared" si="21"/>
        <v/>
      </c>
      <c r="J33" s="65"/>
      <c r="K33" s="61">
        <v>2.0</v>
      </c>
      <c r="L33" s="62">
        <f t="shared" si="22"/>
        <v>2</v>
      </c>
      <c r="N33" s="18" t="s">
        <v>44</v>
      </c>
      <c r="O33" s="13" t="str">
        <f t="shared" si="23"/>
        <v/>
      </c>
      <c r="P33" s="66"/>
      <c r="Q33" s="69"/>
      <c r="R33" s="62" t="str">
        <f t="shared" si="24"/>
        <v/>
      </c>
      <c r="AA33" s="2"/>
    </row>
    <row r="34" ht="12.75" customHeight="1">
      <c r="A34" s="17"/>
      <c r="B34" s="18" t="s">
        <v>45</v>
      </c>
      <c r="C34" s="13">
        <f t="shared" si="19"/>
        <v>0</v>
      </c>
      <c r="D34" s="60">
        <v>3.0</v>
      </c>
      <c r="E34" s="61">
        <v>2.0</v>
      </c>
      <c r="F34" s="62">
        <f t="shared" si="20"/>
        <v>0</v>
      </c>
      <c r="H34" s="18" t="s">
        <v>45</v>
      </c>
      <c r="I34" s="13">
        <f t="shared" si="21"/>
        <v>3</v>
      </c>
      <c r="J34" s="60">
        <v>3.0</v>
      </c>
      <c r="K34" s="64"/>
      <c r="L34" s="62" t="str">
        <f t="shared" si="22"/>
        <v/>
      </c>
      <c r="N34" s="18" t="s">
        <v>45</v>
      </c>
      <c r="O34" s="13" t="str">
        <f t="shared" si="23"/>
        <v/>
      </c>
      <c r="P34" s="66"/>
      <c r="Q34" s="67">
        <v>2.0</v>
      </c>
      <c r="R34" s="62">
        <f t="shared" si="24"/>
        <v>2</v>
      </c>
      <c r="AA34" s="2"/>
    </row>
    <row r="35" ht="12.75" customHeight="1">
      <c r="A35" s="17"/>
      <c r="B35" s="18" t="s">
        <v>46</v>
      </c>
      <c r="C35" s="13" t="str">
        <f t="shared" si="19"/>
        <v/>
      </c>
      <c r="D35" s="65"/>
      <c r="E35" s="64"/>
      <c r="F35" s="62" t="str">
        <f t="shared" si="20"/>
        <v/>
      </c>
      <c r="H35" s="18" t="s">
        <v>46</v>
      </c>
      <c r="I35" s="13">
        <f t="shared" si="21"/>
        <v>3</v>
      </c>
      <c r="J35" s="60">
        <v>3.0</v>
      </c>
      <c r="K35" s="64"/>
      <c r="L35" s="62" t="str">
        <f t="shared" si="22"/>
        <v/>
      </c>
      <c r="N35" s="18" t="s">
        <v>46</v>
      </c>
      <c r="O35" s="13">
        <f t="shared" si="23"/>
        <v>0</v>
      </c>
      <c r="P35" s="68">
        <v>2.0</v>
      </c>
      <c r="Q35" s="67">
        <v>3.0</v>
      </c>
      <c r="R35" s="62">
        <f t="shared" si="24"/>
        <v>0</v>
      </c>
      <c r="AA35" s="2"/>
    </row>
    <row r="36" ht="12.75" customHeight="1">
      <c r="A36" s="17"/>
      <c r="B36" s="18" t="s">
        <v>47</v>
      </c>
      <c r="C36" s="13" t="str">
        <f t="shared" si="19"/>
        <v/>
      </c>
      <c r="D36" s="65"/>
      <c r="E36" s="64"/>
      <c r="F36" s="62" t="str">
        <f t="shared" si="20"/>
        <v/>
      </c>
      <c r="H36" s="18" t="s">
        <v>47</v>
      </c>
      <c r="I36" s="13" t="str">
        <f t="shared" si="21"/>
        <v/>
      </c>
      <c r="J36" s="65"/>
      <c r="K36" s="64"/>
      <c r="L36" s="62" t="str">
        <f t="shared" si="22"/>
        <v/>
      </c>
      <c r="N36" s="18" t="s">
        <v>47</v>
      </c>
      <c r="O36" s="13" t="str">
        <f t="shared" si="23"/>
        <v/>
      </c>
      <c r="P36" s="66"/>
      <c r="Q36" s="69"/>
      <c r="R36" s="62" t="str">
        <f t="shared" si="24"/>
        <v/>
      </c>
      <c r="AA36" s="2"/>
    </row>
    <row r="37" ht="12.75" customHeight="1">
      <c r="A37" s="17"/>
      <c r="B37" s="18" t="s">
        <v>48</v>
      </c>
      <c r="C37" s="13" t="str">
        <f t="shared" si="19"/>
        <v/>
      </c>
      <c r="D37" s="65"/>
      <c r="E37" s="64"/>
      <c r="F37" s="62" t="str">
        <f t="shared" si="20"/>
        <v/>
      </c>
      <c r="H37" s="18" t="s">
        <v>48</v>
      </c>
      <c r="I37" s="13" t="str">
        <f t="shared" si="21"/>
        <v/>
      </c>
      <c r="J37" s="65"/>
      <c r="K37" s="64"/>
      <c r="L37" s="62" t="str">
        <f t="shared" si="22"/>
        <v/>
      </c>
      <c r="N37" s="18" t="s">
        <v>48</v>
      </c>
      <c r="O37" s="13" t="str">
        <f t="shared" si="23"/>
        <v/>
      </c>
      <c r="P37" s="66"/>
      <c r="Q37" s="69"/>
      <c r="R37" s="62" t="str">
        <f t="shared" si="24"/>
        <v/>
      </c>
      <c r="AA37" s="2"/>
    </row>
    <row r="38" ht="12.75" customHeight="1">
      <c r="A38" s="17"/>
      <c r="B38" s="18" t="s">
        <v>49</v>
      </c>
      <c r="C38" s="13" t="str">
        <f t="shared" si="19"/>
        <v/>
      </c>
      <c r="D38" s="65"/>
      <c r="E38" s="64"/>
      <c r="F38" s="62" t="str">
        <f t="shared" si="20"/>
        <v/>
      </c>
      <c r="H38" s="18" t="s">
        <v>49</v>
      </c>
      <c r="I38" s="13" t="str">
        <f t="shared" si="21"/>
        <v/>
      </c>
      <c r="J38" s="65"/>
      <c r="K38" s="64"/>
      <c r="L38" s="62" t="str">
        <f t="shared" si="22"/>
        <v/>
      </c>
      <c r="N38" s="18" t="s">
        <v>49</v>
      </c>
      <c r="O38" s="13" t="str">
        <f t="shared" si="23"/>
        <v/>
      </c>
      <c r="P38" s="66"/>
      <c r="Q38" s="69"/>
      <c r="R38" s="62" t="str">
        <f t="shared" si="24"/>
        <v/>
      </c>
      <c r="AA38" s="2"/>
    </row>
    <row r="39" ht="12.75" customHeight="1">
      <c r="A39" s="17"/>
      <c r="B39" s="18" t="s">
        <v>50</v>
      </c>
      <c r="C39" s="13" t="str">
        <f t="shared" si="19"/>
        <v/>
      </c>
      <c r="D39" s="65"/>
      <c r="E39" s="64"/>
      <c r="F39" s="62" t="str">
        <f t="shared" si="20"/>
        <v/>
      </c>
      <c r="H39" s="18" t="s">
        <v>50</v>
      </c>
      <c r="I39" s="13" t="str">
        <f t="shared" si="21"/>
        <v/>
      </c>
      <c r="J39" s="65"/>
      <c r="K39" s="64"/>
      <c r="L39" s="62" t="str">
        <f t="shared" si="22"/>
        <v/>
      </c>
      <c r="N39" s="18" t="s">
        <v>50</v>
      </c>
      <c r="O39" s="13" t="str">
        <f t="shared" si="23"/>
        <v/>
      </c>
      <c r="P39" s="66"/>
      <c r="Q39" s="69"/>
      <c r="R39" s="62" t="str">
        <f t="shared" si="24"/>
        <v/>
      </c>
      <c r="AA39" s="2"/>
    </row>
    <row r="40" ht="12.75" customHeight="1">
      <c r="A40" s="17"/>
      <c r="B40" s="18" t="s">
        <v>51</v>
      </c>
      <c r="C40" s="13" t="str">
        <f t="shared" si="19"/>
        <v/>
      </c>
      <c r="D40" s="66"/>
      <c r="E40" s="69"/>
      <c r="F40" s="62" t="str">
        <f t="shared" si="20"/>
        <v/>
      </c>
      <c r="H40" s="18" t="s">
        <v>51</v>
      </c>
      <c r="I40" s="13" t="str">
        <f t="shared" si="21"/>
        <v/>
      </c>
      <c r="J40" s="66"/>
      <c r="K40" s="69"/>
      <c r="L40" s="62" t="str">
        <f t="shared" si="22"/>
        <v/>
      </c>
      <c r="N40" s="18" t="s">
        <v>51</v>
      </c>
      <c r="O40" s="13" t="str">
        <f t="shared" si="23"/>
        <v/>
      </c>
      <c r="P40" s="66"/>
      <c r="Q40" s="69"/>
      <c r="R40" s="62" t="str">
        <f t="shared" si="24"/>
        <v/>
      </c>
      <c r="AA40" s="2"/>
    </row>
    <row r="41" ht="12.75" customHeight="1">
      <c r="A41" s="17"/>
      <c r="B41" s="18" t="s">
        <v>52</v>
      </c>
      <c r="C41" s="33">
        <f>SUM(C26:C40)</f>
        <v>7</v>
      </c>
      <c r="D41" s="33">
        <f>COUNTIFS(D26:D40, "&lt;&gt;0", D26:D40, "&lt;&gt;", E26:E40, "&lt;&gt;0", E26:E40, "&lt;&gt;")</f>
        <v>2</v>
      </c>
      <c r="E41" s="33">
        <f>COUNTIFS(D26:D40, "&lt;&gt;0", D26:D40, "&lt;&gt;", E26:E40, "&lt;&gt;0", E26:E40, "&lt;&gt;")</f>
        <v>2</v>
      </c>
      <c r="F41" s="33">
        <f>SUM(F26:F40)</f>
        <v>9</v>
      </c>
      <c r="H41" s="18" t="s">
        <v>52</v>
      </c>
      <c r="I41" s="33">
        <f>SUM(I26:I40)</f>
        <v>14</v>
      </c>
      <c r="J41" s="33">
        <f>COUNTIFS(J26:J40, "&lt;&gt;0", J26:J40, "&lt;&gt;", K26:K40, "&lt;&gt;0", K26:K40, "&lt;&gt;")</f>
        <v>0</v>
      </c>
      <c r="K41" s="33">
        <f>COUNTIFS(J26:J40, "&lt;&gt;0", J26:J40, "&lt;&gt;", K26:K40, "&lt;&gt;0", K26:K40, "&lt;&gt;")</f>
        <v>0</v>
      </c>
      <c r="L41" s="33">
        <f>SUM(L26:L40)</f>
        <v>6</v>
      </c>
      <c r="N41" s="18" t="s">
        <v>52</v>
      </c>
      <c r="O41" s="33">
        <f>SUM(O26:O40)</f>
        <v>0</v>
      </c>
      <c r="P41" s="33">
        <f>COUNTIFS(P26:P40, "&lt;&gt;0", P26:P40, "&lt;&gt;", Q26:Q40, "&lt;&gt;0", Q26:Q40, "&lt;&gt;")</f>
        <v>2</v>
      </c>
      <c r="Q41" s="33">
        <f>COUNTIFS(P26:P40, "&lt;&gt;0", P26:P40, "&lt;&gt;", Q26:Q40, "&lt;&gt;0", Q26:Q40, "&lt;&gt;")</f>
        <v>2</v>
      </c>
      <c r="R41" s="33">
        <f>SUM(R26:R40)</f>
        <v>16</v>
      </c>
      <c r="AA41" s="2"/>
    </row>
    <row r="42" ht="12.75" customHeight="1">
      <c r="A42" s="17"/>
      <c r="B42" s="17" t="s">
        <v>53</v>
      </c>
      <c r="C42" s="70">
        <f>D42</f>
        <v>-1</v>
      </c>
      <c r="D42" s="71">
        <f>IF(C41&gt;F41, 1, (IF(C41=F41, 0, -1)))</f>
        <v>-1</v>
      </c>
      <c r="E42" s="33">
        <f>IF(F41&gt;C41, 1, (IF(F41=C41, 0, -1)))</f>
        <v>1</v>
      </c>
      <c r="F42" s="70">
        <f>E42</f>
        <v>1</v>
      </c>
      <c r="H42" s="17" t="s">
        <v>53</v>
      </c>
      <c r="I42" s="70">
        <f>J42</f>
        <v>1</v>
      </c>
      <c r="J42" s="71">
        <f>IF(I41&gt;L41, 1, (IF(I41=L41, 0, -1)))</f>
        <v>1</v>
      </c>
      <c r="K42" s="33">
        <f>IF(L41&gt;I41, 1, (IF(L41=I41, 0, -1)))</f>
        <v>-1</v>
      </c>
      <c r="L42" s="70">
        <f>K42</f>
        <v>-1</v>
      </c>
      <c r="N42" s="17" t="s">
        <v>53</v>
      </c>
      <c r="O42" s="70">
        <f>P42</f>
        <v>-1</v>
      </c>
      <c r="P42" s="71">
        <f>IF(O41&gt;R41, 1, (IF(O41=R41, 0, -1)))</f>
        <v>-1</v>
      </c>
      <c r="Q42" s="33">
        <f>IF(R41&gt;O41, 1, (IF(R41=O41, 0, -1)))</f>
        <v>1</v>
      </c>
      <c r="R42" s="70">
        <f>Q42</f>
        <v>1</v>
      </c>
      <c r="AA42" s="2"/>
    </row>
    <row r="43" ht="12.75" customHeight="1">
      <c r="A43" s="72"/>
      <c r="B43" s="72"/>
      <c r="H43" s="72"/>
      <c r="N43" s="72"/>
      <c r="AA43" s="2"/>
    </row>
    <row r="44" ht="12.75" customHeight="1">
      <c r="A44" s="72"/>
      <c r="B44" s="72"/>
      <c r="H44" s="72"/>
      <c r="N44" s="72"/>
      <c r="AA44" s="2"/>
    </row>
    <row r="45" ht="12.75" customHeight="1">
      <c r="A45" s="17"/>
      <c r="B45" s="18" t="s">
        <v>8</v>
      </c>
      <c r="C45" s="58" t="str">
        <f>T15</f>
        <v>Willem</v>
      </c>
      <c r="D45" s="15"/>
      <c r="E45" s="59" t="str">
        <f>T18</f>
        <v>Jesse</v>
      </c>
      <c r="F45" s="15"/>
      <c r="H45" s="18" t="s">
        <v>21</v>
      </c>
      <c r="I45" s="58" t="str">
        <f>T17</f>
        <v>Rory</v>
      </c>
      <c r="J45" s="15"/>
      <c r="K45" s="59" t="str">
        <f>T18</f>
        <v>Jesse</v>
      </c>
      <c r="L45" s="15"/>
      <c r="N45" s="18" t="s">
        <v>30</v>
      </c>
      <c r="O45" s="58" t="str">
        <f>T14</f>
        <v>Arjan</v>
      </c>
      <c r="P45" s="15"/>
      <c r="Q45" s="59" t="str">
        <f>T17</f>
        <v>Rory</v>
      </c>
      <c r="R45" s="15"/>
      <c r="AA45" s="2"/>
    </row>
    <row r="46" ht="12.75" customHeight="1">
      <c r="A46" s="17"/>
      <c r="B46" s="18" t="s">
        <v>36</v>
      </c>
      <c r="C46" s="13">
        <f t="shared" ref="C46:C60" si="27">IF(AND(D46&gt;0,E46&gt;0), 0, D46)</f>
        <v>0</v>
      </c>
      <c r="D46" s="60">
        <v>2.0</v>
      </c>
      <c r="E46" s="61">
        <v>2.0</v>
      </c>
      <c r="F46" s="62">
        <f t="shared" ref="F46:F60" si="28">IF(AND(D46&gt;0,E46&gt;0), 0, E46)</f>
        <v>0</v>
      </c>
      <c r="H46" s="18" t="s">
        <v>36</v>
      </c>
      <c r="I46" s="13" t="str">
        <f t="shared" ref="I46:I60" si="29">IF(AND(J46&gt;0,K46&gt;0), 0, J46)</f>
        <v/>
      </c>
      <c r="J46" s="65"/>
      <c r="K46" s="61">
        <v>2.0</v>
      </c>
      <c r="L46" s="62">
        <f t="shared" ref="L46:L60" si="30">IF(AND(J46&gt;0,K46&gt;0), 0, K46)</f>
        <v>2</v>
      </c>
      <c r="N46" s="18" t="s">
        <v>36</v>
      </c>
      <c r="O46" s="13" t="str">
        <f t="shared" ref="O46:O60" si="31">IF(AND(P46&gt;0,Q46&gt;0), 0, P46)</f>
        <v/>
      </c>
      <c r="P46" s="65"/>
      <c r="Q46" s="61">
        <v>3.0</v>
      </c>
      <c r="R46" s="62">
        <f t="shared" ref="R46:R60" si="32">IF(AND(P46&gt;0,Q46&gt;0), 0, Q46)</f>
        <v>3</v>
      </c>
      <c r="AA46" s="2"/>
    </row>
    <row r="47" ht="12.75" customHeight="1">
      <c r="A47" s="17"/>
      <c r="B47" s="18" t="s">
        <v>37</v>
      </c>
      <c r="C47" s="13" t="str">
        <f t="shared" si="27"/>
        <v/>
      </c>
      <c r="D47" s="60"/>
      <c r="E47" s="61">
        <v>3.0</v>
      </c>
      <c r="F47" s="62">
        <f t="shared" si="28"/>
        <v>3</v>
      </c>
      <c r="H47" s="18" t="s">
        <v>37</v>
      </c>
      <c r="I47" s="13">
        <f t="shared" si="29"/>
        <v>2</v>
      </c>
      <c r="J47" s="60">
        <v>2.0</v>
      </c>
      <c r="K47" s="64"/>
      <c r="L47" s="62" t="str">
        <f t="shared" si="30"/>
        <v/>
      </c>
      <c r="N47" s="18" t="s">
        <v>37</v>
      </c>
      <c r="O47" s="13" t="str">
        <f t="shared" si="31"/>
        <v/>
      </c>
      <c r="P47" s="65"/>
      <c r="Q47" s="61">
        <v>2.0</v>
      </c>
      <c r="R47" s="62">
        <f t="shared" si="32"/>
        <v>2</v>
      </c>
      <c r="AA47" s="2"/>
    </row>
    <row r="48" ht="12.75" customHeight="1">
      <c r="A48" s="17"/>
      <c r="B48" s="18" t="s">
        <v>38</v>
      </c>
      <c r="C48" s="13">
        <f t="shared" si="27"/>
        <v>2</v>
      </c>
      <c r="D48" s="60">
        <v>2.0</v>
      </c>
      <c r="E48" s="61"/>
      <c r="F48" s="62" t="str">
        <f t="shared" si="28"/>
        <v/>
      </c>
      <c r="H48" s="18" t="s">
        <v>38</v>
      </c>
      <c r="I48" s="13">
        <f t="shared" si="29"/>
        <v>2</v>
      </c>
      <c r="J48" s="60">
        <v>2.0</v>
      </c>
      <c r="K48" s="64"/>
      <c r="L48" s="62" t="str">
        <f t="shared" si="30"/>
        <v/>
      </c>
      <c r="N48" s="18" t="s">
        <v>38</v>
      </c>
      <c r="O48" s="13">
        <f t="shared" si="31"/>
        <v>0</v>
      </c>
      <c r="P48" s="60">
        <v>2.0</v>
      </c>
      <c r="Q48" s="61">
        <v>3.0</v>
      </c>
      <c r="R48" s="62">
        <f t="shared" si="32"/>
        <v>0</v>
      </c>
      <c r="AA48" s="2"/>
    </row>
    <row r="49" ht="12.75" customHeight="1">
      <c r="A49" s="17"/>
      <c r="B49" s="18" t="s">
        <v>39</v>
      </c>
      <c r="C49" s="13">
        <f t="shared" si="27"/>
        <v>2</v>
      </c>
      <c r="D49" s="60">
        <v>2.0</v>
      </c>
      <c r="E49" s="64"/>
      <c r="F49" s="62" t="str">
        <f t="shared" si="28"/>
        <v/>
      </c>
      <c r="H49" s="18" t="s">
        <v>39</v>
      </c>
      <c r="I49" s="13">
        <f t="shared" si="29"/>
        <v>0</v>
      </c>
      <c r="J49" s="60">
        <v>2.0</v>
      </c>
      <c r="K49" s="61">
        <v>3.0</v>
      </c>
      <c r="L49" s="62">
        <f t="shared" si="30"/>
        <v>0</v>
      </c>
      <c r="N49" s="18" t="s">
        <v>39</v>
      </c>
      <c r="O49" s="13" t="str">
        <f t="shared" si="31"/>
        <v/>
      </c>
      <c r="P49" s="65"/>
      <c r="Q49" s="61">
        <v>3.0</v>
      </c>
      <c r="R49" s="62">
        <f t="shared" si="32"/>
        <v>3</v>
      </c>
      <c r="AA49" s="2"/>
    </row>
    <row r="50" ht="12.75" customHeight="1">
      <c r="A50" s="17"/>
      <c r="B50" s="18" t="s">
        <v>40</v>
      </c>
      <c r="C50" s="13">
        <f t="shared" si="27"/>
        <v>2</v>
      </c>
      <c r="D50" s="60">
        <v>2.0</v>
      </c>
      <c r="E50" s="64"/>
      <c r="F50" s="62" t="str">
        <f t="shared" si="28"/>
        <v/>
      </c>
      <c r="H50" s="18" t="s">
        <v>40</v>
      </c>
      <c r="I50" s="13" t="str">
        <f t="shared" si="29"/>
        <v/>
      </c>
      <c r="J50" s="65"/>
      <c r="K50" s="61">
        <v>2.0</v>
      </c>
      <c r="L50" s="62">
        <f t="shared" si="30"/>
        <v>2</v>
      </c>
      <c r="N50" s="18" t="s">
        <v>40</v>
      </c>
      <c r="O50" s="13">
        <f t="shared" si="31"/>
        <v>2</v>
      </c>
      <c r="P50" s="60">
        <v>2.0</v>
      </c>
      <c r="Q50" s="64"/>
      <c r="R50" s="62" t="str">
        <f t="shared" si="32"/>
        <v/>
      </c>
      <c r="AA50" s="2"/>
    </row>
    <row r="51" ht="12.75" customHeight="1">
      <c r="A51" s="17"/>
      <c r="B51" s="18" t="s">
        <v>42</v>
      </c>
      <c r="C51" s="13" t="str">
        <f t="shared" si="27"/>
        <v/>
      </c>
      <c r="D51" s="60"/>
      <c r="E51" s="61">
        <v>3.0</v>
      </c>
      <c r="F51" s="62">
        <f t="shared" si="28"/>
        <v>3</v>
      </c>
      <c r="H51" s="18" t="s">
        <v>42</v>
      </c>
      <c r="I51" s="13" t="str">
        <f t="shared" si="29"/>
        <v/>
      </c>
      <c r="J51" s="65"/>
      <c r="K51" s="61">
        <v>2.0</v>
      </c>
      <c r="L51" s="62">
        <f t="shared" si="30"/>
        <v>2</v>
      </c>
      <c r="N51" s="18" t="s">
        <v>42</v>
      </c>
      <c r="O51" s="13">
        <f t="shared" si="31"/>
        <v>2</v>
      </c>
      <c r="P51" s="60">
        <v>2.0</v>
      </c>
      <c r="Q51" s="64"/>
      <c r="R51" s="62" t="str">
        <f t="shared" si="32"/>
        <v/>
      </c>
      <c r="AA51" s="2"/>
    </row>
    <row r="52" ht="12.75" customHeight="1">
      <c r="A52" s="17"/>
      <c r="B52" s="18" t="s">
        <v>43</v>
      </c>
      <c r="C52" s="13">
        <f t="shared" si="27"/>
        <v>3</v>
      </c>
      <c r="D52" s="60">
        <v>3.0</v>
      </c>
      <c r="E52" s="64"/>
      <c r="F52" s="62" t="str">
        <f t="shared" si="28"/>
        <v/>
      </c>
      <c r="H52" s="18" t="s">
        <v>43</v>
      </c>
      <c r="I52" s="13">
        <f t="shared" si="29"/>
        <v>0</v>
      </c>
      <c r="J52" s="60">
        <v>3.0</v>
      </c>
      <c r="K52" s="61">
        <v>2.0</v>
      </c>
      <c r="L52" s="62">
        <f t="shared" si="30"/>
        <v>0</v>
      </c>
      <c r="N52" s="18" t="s">
        <v>43</v>
      </c>
      <c r="O52" s="13" t="str">
        <f t="shared" si="31"/>
        <v/>
      </c>
      <c r="P52" s="65"/>
      <c r="Q52" s="61">
        <v>2.0</v>
      </c>
      <c r="R52" s="62">
        <f t="shared" si="32"/>
        <v>2</v>
      </c>
      <c r="AA52" s="2"/>
    </row>
    <row r="53" ht="12.75" customHeight="1">
      <c r="A53" s="17"/>
      <c r="B53" s="18" t="s">
        <v>44</v>
      </c>
      <c r="C53" s="13" t="str">
        <f t="shared" si="27"/>
        <v/>
      </c>
      <c r="D53" s="65"/>
      <c r="E53" s="61">
        <v>2.0</v>
      </c>
      <c r="F53" s="62">
        <f t="shared" si="28"/>
        <v>2</v>
      </c>
      <c r="H53" s="18" t="s">
        <v>44</v>
      </c>
      <c r="I53" s="13" t="str">
        <f t="shared" si="29"/>
        <v/>
      </c>
      <c r="J53" s="65"/>
      <c r="K53" s="61">
        <v>2.0</v>
      </c>
      <c r="L53" s="62">
        <f t="shared" si="30"/>
        <v>2</v>
      </c>
      <c r="N53" s="18" t="s">
        <v>44</v>
      </c>
      <c r="O53" s="13">
        <f t="shared" si="31"/>
        <v>2</v>
      </c>
      <c r="P53" s="60">
        <v>2.0</v>
      </c>
      <c r="Q53" s="64"/>
      <c r="R53" s="62" t="str">
        <f t="shared" si="32"/>
        <v/>
      </c>
      <c r="AA53" s="2"/>
    </row>
    <row r="54" ht="12.75" customHeight="1">
      <c r="A54" s="17"/>
      <c r="B54" s="18" t="s">
        <v>45</v>
      </c>
      <c r="C54" s="13" t="str">
        <f t="shared" si="27"/>
        <v/>
      </c>
      <c r="D54" s="65"/>
      <c r="E54" s="61">
        <v>2.0</v>
      </c>
      <c r="F54" s="62">
        <f t="shared" si="28"/>
        <v>2</v>
      </c>
      <c r="H54" s="18" t="s">
        <v>45</v>
      </c>
      <c r="I54" s="13">
        <f t="shared" si="29"/>
        <v>0</v>
      </c>
      <c r="J54" s="60">
        <v>2.0</v>
      </c>
      <c r="K54" s="61">
        <v>3.0</v>
      </c>
      <c r="L54" s="62">
        <f t="shared" si="30"/>
        <v>0</v>
      </c>
      <c r="N54" s="18" t="s">
        <v>45</v>
      </c>
      <c r="O54" s="13" t="str">
        <f t="shared" si="31"/>
        <v/>
      </c>
      <c r="P54" s="65"/>
      <c r="Q54" s="61">
        <v>2.0</v>
      </c>
      <c r="R54" s="62">
        <f t="shared" si="32"/>
        <v>2</v>
      </c>
      <c r="AA54" s="2"/>
    </row>
    <row r="55" ht="12.75" customHeight="1">
      <c r="A55" s="17"/>
      <c r="B55" s="18" t="s">
        <v>46</v>
      </c>
      <c r="C55" s="13" t="str">
        <f t="shared" si="27"/>
        <v/>
      </c>
      <c r="D55" s="65"/>
      <c r="E55" s="61">
        <v>3.0</v>
      </c>
      <c r="F55" s="62">
        <f t="shared" si="28"/>
        <v>3</v>
      </c>
      <c r="H55" s="18" t="s">
        <v>46</v>
      </c>
      <c r="I55" s="13" t="str">
        <f t="shared" si="29"/>
        <v/>
      </c>
      <c r="J55" s="65"/>
      <c r="K55" s="61">
        <v>2.0</v>
      </c>
      <c r="L55" s="62">
        <f t="shared" si="30"/>
        <v>2</v>
      </c>
      <c r="N55" s="18" t="s">
        <v>46</v>
      </c>
      <c r="O55" s="13" t="str">
        <f t="shared" si="31"/>
        <v/>
      </c>
      <c r="P55" s="65"/>
      <c r="Q55" s="61">
        <v>2.0</v>
      </c>
      <c r="R55" s="62">
        <f t="shared" si="32"/>
        <v>2</v>
      </c>
      <c r="AA55" s="2"/>
    </row>
    <row r="56" ht="12.75" customHeight="1">
      <c r="A56" s="17"/>
      <c r="B56" s="18" t="s">
        <v>47</v>
      </c>
      <c r="C56" s="13" t="str">
        <f t="shared" si="27"/>
        <v/>
      </c>
      <c r="D56" s="65"/>
      <c r="E56" s="64"/>
      <c r="F56" s="62" t="str">
        <f t="shared" si="28"/>
        <v/>
      </c>
      <c r="H56" s="18" t="s">
        <v>47</v>
      </c>
      <c r="I56" s="13" t="str">
        <f t="shared" si="29"/>
        <v/>
      </c>
      <c r="J56" s="65"/>
      <c r="K56" s="61">
        <v>2.0</v>
      </c>
      <c r="L56" s="62">
        <f t="shared" si="30"/>
        <v>2</v>
      </c>
      <c r="N56" s="18" t="s">
        <v>47</v>
      </c>
      <c r="O56" s="13" t="str">
        <f t="shared" si="31"/>
        <v/>
      </c>
      <c r="P56" s="65"/>
      <c r="Q56" s="64"/>
      <c r="R56" s="62" t="str">
        <f t="shared" si="32"/>
        <v/>
      </c>
      <c r="AA56" s="2"/>
    </row>
    <row r="57" ht="12.75" customHeight="1">
      <c r="A57" s="17"/>
      <c r="B57" s="18" t="s">
        <v>48</v>
      </c>
      <c r="C57" s="13" t="str">
        <f t="shared" si="27"/>
        <v/>
      </c>
      <c r="D57" s="65"/>
      <c r="E57" s="64"/>
      <c r="F57" s="62" t="str">
        <f t="shared" si="28"/>
        <v/>
      </c>
      <c r="H57" s="18" t="s">
        <v>48</v>
      </c>
      <c r="I57" s="13" t="str">
        <f t="shared" si="29"/>
        <v/>
      </c>
      <c r="J57" s="65"/>
      <c r="K57" s="64"/>
      <c r="L57" s="62" t="str">
        <f t="shared" si="30"/>
        <v/>
      </c>
      <c r="N57" s="18" t="s">
        <v>48</v>
      </c>
      <c r="O57" s="13" t="str">
        <f t="shared" si="31"/>
        <v/>
      </c>
      <c r="P57" s="65"/>
      <c r="Q57" s="64"/>
      <c r="R57" s="62" t="str">
        <f t="shared" si="32"/>
        <v/>
      </c>
      <c r="AA57" s="2"/>
    </row>
    <row r="58" ht="12.75" customHeight="1">
      <c r="A58" s="17"/>
      <c r="B58" s="18" t="s">
        <v>49</v>
      </c>
      <c r="C58" s="13" t="str">
        <f t="shared" si="27"/>
        <v/>
      </c>
      <c r="D58" s="65"/>
      <c r="E58" s="64"/>
      <c r="F58" s="62" t="str">
        <f t="shared" si="28"/>
        <v/>
      </c>
      <c r="H58" s="18" t="s">
        <v>49</v>
      </c>
      <c r="I58" s="13" t="str">
        <f t="shared" si="29"/>
        <v/>
      </c>
      <c r="J58" s="65"/>
      <c r="K58" s="64"/>
      <c r="L58" s="62" t="str">
        <f t="shared" si="30"/>
        <v/>
      </c>
      <c r="N58" s="18" t="s">
        <v>49</v>
      </c>
      <c r="O58" s="13" t="str">
        <f t="shared" si="31"/>
        <v/>
      </c>
      <c r="P58" s="65"/>
      <c r="Q58" s="64"/>
      <c r="R58" s="62" t="str">
        <f t="shared" si="32"/>
        <v/>
      </c>
      <c r="AA58" s="2"/>
    </row>
    <row r="59" ht="12.75" customHeight="1">
      <c r="A59" s="17"/>
      <c r="B59" s="18" t="s">
        <v>50</v>
      </c>
      <c r="C59" s="13" t="str">
        <f t="shared" si="27"/>
        <v/>
      </c>
      <c r="D59" s="65"/>
      <c r="E59" s="64"/>
      <c r="F59" s="62" t="str">
        <f t="shared" si="28"/>
        <v/>
      </c>
      <c r="H59" s="18" t="s">
        <v>50</v>
      </c>
      <c r="I59" s="13" t="str">
        <f t="shared" si="29"/>
        <v/>
      </c>
      <c r="J59" s="65"/>
      <c r="K59" s="64"/>
      <c r="L59" s="62" t="str">
        <f t="shared" si="30"/>
        <v/>
      </c>
      <c r="N59" s="18" t="s">
        <v>50</v>
      </c>
      <c r="O59" s="13" t="str">
        <f t="shared" si="31"/>
        <v/>
      </c>
      <c r="P59" s="65"/>
      <c r="Q59" s="64"/>
      <c r="R59" s="62" t="str">
        <f t="shared" si="32"/>
        <v/>
      </c>
      <c r="AA59" s="2"/>
    </row>
    <row r="60" ht="12.75" customHeight="1">
      <c r="A60" s="17"/>
      <c r="B60" s="18" t="s">
        <v>51</v>
      </c>
      <c r="C60" s="13" t="str">
        <f t="shared" si="27"/>
        <v/>
      </c>
      <c r="D60" s="66"/>
      <c r="E60" s="69"/>
      <c r="F60" s="62" t="str">
        <f t="shared" si="28"/>
        <v/>
      </c>
      <c r="H60" s="18" t="s">
        <v>51</v>
      </c>
      <c r="I60" s="13" t="str">
        <f t="shared" si="29"/>
        <v/>
      </c>
      <c r="J60" s="66"/>
      <c r="K60" s="69"/>
      <c r="L60" s="62" t="str">
        <f t="shared" si="30"/>
        <v/>
      </c>
      <c r="N60" s="18" t="s">
        <v>51</v>
      </c>
      <c r="O60" s="13" t="str">
        <f t="shared" si="31"/>
        <v/>
      </c>
      <c r="P60" s="66"/>
      <c r="Q60" s="69"/>
      <c r="R60" s="62" t="str">
        <f t="shared" si="32"/>
        <v/>
      </c>
      <c r="AA60" s="2"/>
    </row>
    <row r="61" ht="12.75" customHeight="1">
      <c r="A61" s="17"/>
      <c r="B61" s="18" t="s">
        <v>52</v>
      </c>
      <c r="C61" s="33">
        <f>SUM(C46:C60)</f>
        <v>9</v>
      </c>
      <c r="D61" s="33">
        <f>COUNTIFS(D46:D60, "&lt;&gt;0", D46:D60, "&lt;&gt;", E46:E60, "&lt;&gt;0", E46:E60, "&lt;&gt;")</f>
        <v>1</v>
      </c>
      <c r="E61" s="33">
        <f>COUNTIFS(D46:D60, "&lt;&gt;0", D46:D60, "&lt;&gt;", E46:E60, "&lt;&gt;0", E46:E60, "&lt;&gt;")</f>
        <v>1</v>
      </c>
      <c r="F61" s="33">
        <f>SUM(F46:F60)</f>
        <v>13</v>
      </c>
      <c r="H61" s="18" t="s">
        <v>52</v>
      </c>
      <c r="I61" s="33">
        <f>SUM(I46:I60)</f>
        <v>4</v>
      </c>
      <c r="J61" s="33">
        <f>COUNTIFS(J46:J60, "&lt;&gt;0", J46:J60, "&lt;&gt;", K46:K60, "&lt;&gt;0", K46:K60, "&lt;&gt;")</f>
        <v>3</v>
      </c>
      <c r="K61" s="33">
        <f>COUNTIFS(J46:J60, "&lt;&gt;0", J46:J60, "&lt;&gt;", K46:K60, "&lt;&gt;0", K46:K60, "&lt;&gt;")</f>
        <v>3</v>
      </c>
      <c r="L61" s="33">
        <f>SUM(L46:L60)</f>
        <v>12</v>
      </c>
      <c r="N61" s="18" t="s">
        <v>52</v>
      </c>
      <c r="O61" s="33">
        <f>SUM(O46:O60)</f>
        <v>6</v>
      </c>
      <c r="P61" s="33">
        <f>COUNTIFS(P46:P60, "&lt;&gt;0", P46:P60, "&lt;&gt;", Q46:Q60, "&lt;&gt;0", Q46:Q60, "&lt;&gt;")</f>
        <v>1</v>
      </c>
      <c r="Q61" s="33">
        <f>COUNTIFS(P46:P60, "&lt;&gt;0", P46:P60, "&lt;&gt;", Q46:Q60, "&lt;&gt;0", Q46:Q60, "&lt;&gt;")</f>
        <v>1</v>
      </c>
      <c r="R61" s="33">
        <f>SUM(R46:R60)</f>
        <v>14</v>
      </c>
      <c r="AA61" s="2"/>
    </row>
    <row r="62" ht="12.75" customHeight="1">
      <c r="A62" s="17"/>
      <c r="B62" s="17" t="s">
        <v>53</v>
      </c>
      <c r="C62" s="70">
        <f>D62</f>
        <v>-1</v>
      </c>
      <c r="D62" s="71">
        <f>IF(C61&gt;F61, 1, (IF(C61=F61, 0, -1)))</f>
        <v>-1</v>
      </c>
      <c r="E62" s="33">
        <f>IF(F61&gt;C61, 1, (IF(F61=C61, 0, -1)))</f>
        <v>1</v>
      </c>
      <c r="F62" s="70">
        <f>E62</f>
        <v>1</v>
      </c>
      <c r="H62" s="17" t="s">
        <v>53</v>
      </c>
      <c r="I62" s="70">
        <f>J62</f>
        <v>-1</v>
      </c>
      <c r="J62" s="71">
        <f>IF(I61&gt;L61, 1, (IF(I61=L61, 0, -1)))</f>
        <v>-1</v>
      </c>
      <c r="K62" s="33">
        <f>IF(L61&gt;I61, 1, (IF(L61=I61, 0, -1)))</f>
        <v>1</v>
      </c>
      <c r="L62" s="70">
        <f>K62</f>
        <v>1</v>
      </c>
      <c r="N62" s="17" t="s">
        <v>53</v>
      </c>
      <c r="O62" s="70">
        <f>P62</f>
        <v>-1</v>
      </c>
      <c r="P62" s="71">
        <f>IF(O61&gt;R61, 1, (IF(O61=R61, 0, -1)))</f>
        <v>-1</v>
      </c>
      <c r="Q62" s="33">
        <f>IF(R61&gt;O61, 1, (IF(R61=O61, 0, -1)))</f>
        <v>1</v>
      </c>
      <c r="R62" s="70">
        <f>Q62</f>
        <v>1</v>
      </c>
      <c r="AA62" s="2"/>
    </row>
    <row r="63" ht="12.75" customHeight="1">
      <c r="A63" s="72"/>
      <c r="B63" s="72"/>
      <c r="N63" s="72"/>
      <c r="AA63" s="2"/>
    </row>
    <row r="64" ht="12.75" customHeight="1">
      <c r="A64" s="72"/>
      <c r="B64" s="72"/>
      <c r="N64" s="72"/>
      <c r="AA64" s="2"/>
    </row>
    <row r="65" ht="12.75" customHeight="1">
      <c r="A65" s="17"/>
      <c r="B65" s="18" t="s">
        <v>11</v>
      </c>
      <c r="C65" s="58" t="str">
        <f>T16</f>
        <v>Eva</v>
      </c>
      <c r="D65" s="15"/>
      <c r="E65" s="59" t="str">
        <f>T17</f>
        <v>Rory</v>
      </c>
      <c r="F65" s="15"/>
      <c r="H65" s="18" t="s">
        <v>23</v>
      </c>
      <c r="I65" s="58" t="str">
        <f>T15</f>
        <v>Willem</v>
      </c>
      <c r="J65" s="15"/>
      <c r="K65" s="59" t="str">
        <f>T19</f>
        <v>Maarten</v>
      </c>
      <c r="L65" s="15"/>
      <c r="N65" s="18" t="s">
        <v>31</v>
      </c>
      <c r="O65" s="58" t="str">
        <f>T15</f>
        <v>Willem</v>
      </c>
      <c r="P65" s="15"/>
      <c r="Q65" s="59" t="str">
        <f>T16</f>
        <v>Eva</v>
      </c>
      <c r="R65" s="15"/>
      <c r="AA65" s="2"/>
    </row>
    <row r="66" ht="12.75" customHeight="1">
      <c r="A66" s="17"/>
      <c r="B66" s="18" t="s">
        <v>36</v>
      </c>
      <c r="C66" s="13" t="str">
        <f t="shared" ref="C66:C80" si="33">IF(AND(D66&gt;0,E66&gt;0), 0, D66)</f>
        <v/>
      </c>
      <c r="D66" s="60"/>
      <c r="E66" s="61">
        <v>2.0</v>
      </c>
      <c r="F66" s="62">
        <f t="shared" ref="F66:F80" si="34">IF(AND(D66&gt;0,E66&gt;0), 0, E66)</f>
        <v>2</v>
      </c>
      <c r="H66" s="18" t="s">
        <v>36</v>
      </c>
      <c r="I66" s="13" t="str">
        <f t="shared" ref="I66:I80" si="35">IF(AND(J66&gt;0,K66&gt;0), 0, J66)</f>
        <v/>
      </c>
      <c r="J66" s="60"/>
      <c r="K66" s="64"/>
      <c r="L66" s="62" t="str">
        <f t="shared" ref="L66:L80" si="36">IF(AND(J66&gt;0,K66&gt;0), 0, K66)</f>
        <v/>
      </c>
      <c r="N66" s="18" t="s">
        <v>36</v>
      </c>
      <c r="O66" s="13">
        <f t="shared" ref="O66:O80" si="37">IF(AND(P66&gt;0,Q66&gt;0), 0, P66)</f>
        <v>2</v>
      </c>
      <c r="P66" s="60">
        <v>2.0</v>
      </c>
      <c r="Q66" s="64"/>
      <c r="R66" s="62" t="str">
        <f t="shared" ref="R66:R80" si="38">IF(AND(P66&gt;0,Q66&gt;0), 0, Q66)</f>
        <v/>
      </c>
      <c r="AA66" s="2"/>
    </row>
    <row r="67" ht="12.75" customHeight="1">
      <c r="A67" s="17"/>
      <c r="B67" s="18" t="s">
        <v>37</v>
      </c>
      <c r="C67" s="13" t="str">
        <f t="shared" si="33"/>
        <v/>
      </c>
      <c r="D67" s="60"/>
      <c r="E67" s="64"/>
      <c r="F67" s="62" t="str">
        <f t="shared" si="34"/>
        <v/>
      </c>
      <c r="H67" s="18" t="s">
        <v>37</v>
      </c>
      <c r="I67" s="13" t="str">
        <f t="shared" si="35"/>
        <v/>
      </c>
      <c r="J67" s="65"/>
      <c r="K67" s="61">
        <v>2.0</v>
      </c>
      <c r="L67" s="62">
        <f t="shared" si="36"/>
        <v>2</v>
      </c>
      <c r="N67" s="18" t="s">
        <v>37</v>
      </c>
      <c r="O67" s="13">
        <f t="shared" si="37"/>
        <v>3</v>
      </c>
      <c r="P67" s="60">
        <v>3.0</v>
      </c>
      <c r="Q67" s="64"/>
      <c r="R67" s="62" t="str">
        <f t="shared" si="38"/>
        <v/>
      </c>
      <c r="AA67" s="2"/>
    </row>
    <row r="68" ht="12.75" customHeight="1">
      <c r="A68" s="17"/>
      <c r="B68" s="18" t="s">
        <v>38</v>
      </c>
      <c r="C68" s="13" t="str">
        <f t="shared" si="33"/>
        <v/>
      </c>
      <c r="D68" s="65"/>
      <c r="E68" s="64"/>
      <c r="F68" s="62" t="str">
        <f t="shared" si="34"/>
        <v/>
      </c>
      <c r="H68" s="18" t="s">
        <v>38</v>
      </c>
      <c r="I68" s="13">
        <f t="shared" si="35"/>
        <v>3</v>
      </c>
      <c r="J68" s="60">
        <v>3.0</v>
      </c>
      <c r="K68" s="64"/>
      <c r="L68" s="62" t="str">
        <f t="shared" si="36"/>
        <v/>
      </c>
      <c r="N68" s="18" t="s">
        <v>38</v>
      </c>
      <c r="O68" s="13">
        <f t="shared" si="37"/>
        <v>3</v>
      </c>
      <c r="P68" s="60">
        <v>3.0</v>
      </c>
      <c r="Q68" s="64"/>
      <c r="R68" s="62" t="str">
        <f t="shared" si="38"/>
        <v/>
      </c>
      <c r="AA68" s="2"/>
    </row>
    <row r="69" ht="12.75" customHeight="1">
      <c r="A69" s="17"/>
      <c r="B69" s="18" t="s">
        <v>39</v>
      </c>
      <c r="C69" s="13" t="str">
        <f t="shared" si="33"/>
        <v/>
      </c>
      <c r="D69" s="60"/>
      <c r="E69" s="61">
        <v>3.0</v>
      </c>
      <c r="F69" s="62">
        <f t="shared" si="34"/>
        <v>3</v>
      </c>
      <c r="H69" s="18" t="s">
        <v>39</v>
      </c>
      <c r="I69" s="13">
        <f t="shared" si="35"/>
        <v>0</v>
      </c>
      <c r="J69" s="60">
        <v>3.0</v>
      </c>
      <c r="K69" s="61">
        <v>2.0</v>
      </c>
      <c r="L69" s="62">
        <f t="shared" si="36"/>
        <v>0</v>
      </c>
      <c r="N69" s="18" t="s">
        <v>39</v>
      </c>
      <c r="O69" s="13">
        <f t="shared" si="37"/>
        <v>0</v>
      </c>
      <c r="P69" s="60">
        <v>2.0</v>
      </c>
      <c r="Q69" s="61">
        <v>2.0</v>
      </c>
      <c r="R69" s="62">
        <f t="shared" si="38"/>
        <v>0</v>
      </c>
      <c r="AA69" s="2"/>
    </row>
    <row r="70" ht="12.75" customHeight="1">
      <c r="A70" s="17"/>
      <c r="B70" s="18" t="s">
        <v>40</v>
      </c>
      <c r="C70" s="13">
        <f t="shared" si="33"/>
        <v>2</v>
      </c>
      <c r="D70" s="68">
        <v>2.0</v>
      </c>
      <c r="E70" s="69"/>
      <c r="F70" s="62" t="str">
        <f t="shared" si="34"/>
        <v/>
      </c>
      <c r="H70" s="18" t="s">
        <v>40</v>
      </c>
      <c r="I70" s="13" t="str">
        <f t="shared" si="35"/>
        <v/>
      </c>
      <c r="J70" s="60"/>
      <c r="K70" s="61">
        <v>2.0</v>
      </c>
      <c r="L70" s="62">
        <f t="shared" si="36"/>
        <v>2</v>
      </c>
      <c r="N70" s="18" t="s">
        <v>40</v>
      </c>
      <c r="O70" s="13" t="str">
        <f t="shared" si="37"/>
        <v/>
      </c>
      <c r="P70" s="65"/>
      <c r="Q70" s="61">
        <v>2.0</v>
      </c>
      <c r="R70" s="62">
        <f t="shared" si="38"/>
        <v>2</v>
      </c>
      <c r="AA70" s="2"/>
    </row>
    <row r="71" ht="12.75" customHeight="1">
      <c r="A71" s="17"/>
      <c r="B71" s="18" t="s">
        <v>42</v>
      </c>
      <c r="C71" s="13" t="str">
        <f t="shared" si="33"/>
        <v/>
      </c>
      <c r="D71" s="66"/>
      <c r="E71" s="67">
        <v>3.0</v>
      </c>
      <c r="F71" s="62">
        <f t="shared" si="34"/>
        <v>3</v>
      </c>
      <c r="H71" s="18" t="s">
        <v>42</v>
      </c>
      <c r="I71" s="13">
        <f t="shared" si="35"/>
        <v>2</v>
      </c>
      <c r="J71" s="60">
        <v>2.0</v>
      </c>
      <c r="K71" s="64"/>
      <c r="L71" s="62" t="str">
        <f t="shared" si="36"/>
        <v/>
      </c>
      <c r="N71" s="18" t="s">
        <v>42</v>
      </c>
      <c r="O71" s="13">
        <f t="shared" si="37"/>
        <v>2</v>
      </c>
      <c r="P71" s="60">
        <v>2.0</v>
      </c>
      <c r="Q71" s="64"/>
      <c r="R71" s="62" t="str">
        <f t="shared" si="38"/>
        <v/>
      </c>
      <c r="AA71" s="2"/>
    </row>
    <row r="72" ht="12.75" customHeight="1">
      <c r="A72" s="17"/>
      <c r="B72" s="18" t="s">
        <v>43</v>
      </c>
      <c r="C72" s="13" t="str">
        <f t="shared" si="33"/>
        <v/>
      </c>
      <c r="D72" s="66"/>
      <c r="E72" s="67">
        <v>2.0</v>
      </c>
      <c r="F72" s="62">
        <f t="shared" si="34"/>
        <v>2</v>
      </c>
      <c r="H72" s="18" t="s">
        <v>43</v>
      </c>
      <c r="I72" s="13" t="str">
        <f t="shared" si="35"/>
        <v/>
      </c>
      <c r="J72" s="65"/>
      <c r="K72" s="61">
        <v>3.0</v>
      </c>
      <c r="L72" s="62">
        <f t="shared" si="36"/>
        <v>3</v>
      </c>
      <c r="N72" s="18" t="s">
        <v>43</v>
      </c>
      <c r="O72" s="13">
        <f t="shared" si="37"/>
        <v>3</v>
      </c>
      <c r="P72" s="60">
        <v>3.0</v>
      </c>
      <c r="Q72" s="64"/>
      <c r="R72" s="62" t="str">
        <f t="shared" si="38"/>
        <v/>
      </c>
      <c r="AA72" s="2"/>
    </row>
    <row r="73" ht="12.75" customHeight="1">
      <c r="A73" s="17"/>
      <c r="B73" s="18" t="s">
        <v>44</v>
      </c>
      <c r="C73" s="13" t="str">
        <f t="shared" si="33"/>
        <v/>
      </c>
      <c r="D73" s="66"/>
      <c r="E73" s="67">
        <v>3.0</v>
      </c>
      <c r="F73" s="62">
        <f t="shared" si="34"/>
        <v>3</v>
      </c>
      <c r="H73" s="18" t="s">
        <v>44</v>
      </c>
      <c r="I73" s="13" t="str">
        <f t="shared" si="35"/>
        <v/>
      </c>
      <c r="J73" s="65"/>
      <c r="K73" s="61">
        <v>2.0</v>
      </c>
      <c r="L73" s="62">
        <f t="shared" si="36"/>
        <v>2</v>
      </c>
      <c r="N73" s="18" t="s">
        <v>44</v>
      </c>
      <c r="O73" s="13">
        <f t="shared" si="37"/>
        <v>0</v>
      </c>
      <c r="P73" s="60">
        <v>2.0</v>
      </c>
      <c r="Q73" s="61">
        <v>2.0</v>
      </c>
      <c r="R73" s="62">
        <f t="shared" si="38"/>
        <v>0</v>
      </c>
      <c r="AA73" s="2"/>
    </row>
    <row r="74" ht="12.75" customHeight="1">
      <c r="A74" s="17"/>
      <c r="B74" s="18" t="s">
        <v>45</v>
      </c>
      <c r="C74" s="13" t="str">
        <f t="shared" si="33"/>
        <v/>
      </c>
      <c r="D74" s="66"/>
      <c r="E74" s="69"/>
      <c r="F74" s="62" t="str">
        <f t="shared" si="34"/>
        <v/>
      </c>
      <c r="H74" s="18" t="s">
        <v>45</v>
      </c>
      <c r="I74" s="13">
        <f t="shared" si="35"/>
        <v>2</v>
      </c>
      <c r="J74" s="60">
        <v>2.0</v>
      </c>
      <c r="K74" s="64"/>
      <c r="L74" s="62" t="str">
        <f t="shared" si="36"/>
        <v/>
      </c>
      <c r="N74" s="18" t="s">
        <v>45</v>
      </c>
      <c r="O74" s="13">
        <f t="shared" si="37"/>
        <v>0</v>
      </c>
      <c r="P74" s="60">
        <v>3.0</v>
      </c>
      <c r="Q74" s="61">
        <v>2.0</v>
      </c>
      <c r="R74" s="62">
        <f t="shared" si="38"/>
        <v>0</v>
      </c>
      <c r="AA74" s="2"/>
    </row>
    <row r="75" ht="12.75" customHeight="1">
      <c r="A75" s="17"/>
      <c r="B75" s="18" t="s">
        <v>46</v>
      </c>
      <c r="C75" s="13" t="str">
        <f t="shared" si="33"/>
        <v/>
      </c>
      <c r="D75" s="66"/>
      <c r="E75" s="67">
        <v>3.0</v>
      </c>
      <c r="F75" s="62">
        <f t="shared" si="34"/>
        <v>3</v>
      </c>
      <c r="H75" s="18" t="s">
        <v>46</v>
      </c>
      <c r="I75" s="13" t="str">
        <f t="shared" si="35"/>
        <v/>
      </c>
      <c r="J75" s="65"/>
      <c r="K75" s="61">
        <v>3.0</v>
      </c>
      <c r="L75" s="62">
        <f t="shared" si="36"/>
        <v>3</v>
      </c>
      <c r="N75" s="18" t="s">
        <v>46</v>
      </c>
      <c r="O75" s="13">
        <f t="shared" si="37"/>
        <v>3</v>
      </c>
      <c r="P75" s="60">
        <v>3.0</v>
      </c>
      <c r="Q75" s="64"/>
      <c r="R75" s="62" t="str">
        <f t="shared" si="38"/>
        <v/>
      </c>
      <c r="AA75" s="2"/>
    </row>
    <row r="76" ht="12.75" customHeight="1">
      <c r="A76" s="17"/>
      <c r="B76" s="18" t="s">
        <v>47</v>
      </c>
      <c r="C76" s="13" t="str">
        <f t="shared" si="33"/>
        <v/>
      </c>
      <c r="D76" s="66"/>
      <c r="E76" s="69"/>
      <c r="F76" s="62" t="str">
        <f t="shared" si="34"/>
        <v/>
      </c>
      <c r="H76" s="18" t="s">
        <v>47</v>
      </c>
      <c r="I76" s="13" t="str">
        <f t="shared" si="35"/>
        <v/>
      </c>
      <c r="J76" s="65"/>
      <c r="K76" s="64"/>
      <c r="L76" s="62" t="str">
        <f t="shared" si="36"/>
        <v/>
      </c>
      <c r="N76" s="18" t="s">
        <v>47</v>
      </c>
      <c r="O76" s="13" t="str">
        <f t="shared" si="37"/>
        <v/>
      </c>
      <c r="P76" s="65"/>
      <c r="Q76" s="64"/>
      <c r="R76" s="62" t="str">
        <f t="shared" si="38"/>
        <v/>
      </c>
      <c r="AA76" s="2"/>
    </row>
    <row r="77" ht="12.75" customHeight="1">
      <c r="A77" s="17"/>
      <c r="B77" s="18" t="s">
        <v>48</v>
      </c>
      <c r="C77" s="13" t="str">
        <f t="shared" si="33"/>
        <v/>
      </c>
      <c r="D77" s="66"/>
      <c r="E77" s="69"/>
      <c r="F77" s="62" t="str">
        <f t="shared" si="34"/>
        <v/>
      </c>
      <c r="H77" s="18" t="s">
        <v>48</v>
      </c>
      <c r="I77" s="13" t="str">
        <f t="shared" si="35"/>
        <v/>
      </c>
      <c r="J77" s="65"/>
      <c r="K77" s="64"/>
      <c r="L77" s="62" t="str">
        <f t="shared" si="36"/>
        <v/>
      </c>
      <c r="N77" s="18" t="s">
        <v>48</v>
      </c>
      <c r="O77" s="13" t="str">
        <f t="shared" si="37"/>
        <v/>
      </c>
      <c r="P77" s="65"/>
      <c r="Q77" s="64"/>
      <c r="R77" s="62" t="str">
        <f t="shared" si="38"/>
        <v/>
      </c>
      <c r="AA77" s="2"/>
    </row>
    <row r="78" ht="12.75" customHeight="1">
      <c r="A78" s="17"/>
      <c r="B78" s="18" t="s">
        <v>49</v>
      </c>
      <c r="C78" s="13" t="str">
        <f t="shared" si="33"/>
        <v/>
      </c>
      <c r="D78" s="66"/>
      <c r="E78" s="69"/>
      <c r="F78" s="62" t="str">
        <f t="shared" si="34"/>
        <v/>
      </c>
      <c r="H78" s="18" t="s">
        <v>49</v>
      </c>
      <c r="I78" s="13" t="str">
        <f t="shared" si="35"/>
        <v/>
      </c>
      <c r="J78" s="65"/>
      <c r="K78" s="64"/>
      <c r="L78" s="62" t="str">
        <f t="shared" si="36"/>
        <v/>
      </c>
      <c r="N78" s="18" t="s">
        <v>49</v>
      </c>
      <c r="O78" s="13" t="str">
        <f t="shared" si="37"/>
        <v/>
      </c>
      <c r="P78" s="65"/>
      <c r="Q78" s="64"/>
      <c r="R78" s="62" t="str">
        <f t="shared" si="38"/>
        <v/>
      </c>
      <c r="AA78" s="2"/>
    </row>
    <row r="79" ht="12.75" customHeight="1">
      <c r="A79" s="17"/>
      <c r="B79" s="18" t="s">
        <v>50</v>
      </c>
      <c r="C79" s="13" t="str">
        <f t="shared" si="33"/>
        <v/>
      </c>
      <c r="D79" s="66"/>
      <c r="E79" s="69"/>
      <c r="F79" s="62" t="str">
        <f t="shared" si="34"/>
        <v/>
      </c>
      <c r="H79" s="18" t="s">
        <v>50</v>
      </c>
      <c r="I79" s="13" t="str">
        <f t="shared" si="35"/>
        <v/>
      </c>
      <c r="J79" s="65"/>
      <c r="K79" s="64"/>
      <c r="L79" s="62" t="str">
        <f t="shared" si="36"/>
        <v/>
      </c>
      <c r="N79" s="18" t="s">
        <v>50</v>
      </c>
      <c r="O79" s="13" t="str">
        <f t="shared" si="37"/>
        <v/>
      </c>
      <c r="P79" s="65"/>
      <c r="Q79" s="64"/>
      <c r="R79" s="62" t="str">
        <f t="shared" si="38"/>
        <v/>
      </c>
      <c r="AA79" s="2"/>
    </row>
    <row r="80" ht="12.75" customHeight="1">
      <c r="A80" s="17"/>
      <c r="B80" s="18" t="s">
        <v>51</v>
      </c>
      <c r="C80" s="13" t="str">
        <f t="shared" si="33"/>
        <v/>
      </c>
      <c r="D80" s="66"/>
      <c r="E80" s="69"/>
      <c r="F80" s="62" t="str">
        <f t="shared" si="34"/>
        <v/>
      </c>
      <c r="H80" s="18" t="s">
        <v>51</v>
      </c>
      <c r="I80" s="13" t="str">
        <f t="shared" si="35"/>
        <v/>
      </c>
      <c r="J80" s="66"/>
      <c r="K80" s="69"/>
      <c r="L80" s="62" t="str">
        <f t="shared" si="36"/>
        <v/>
      </c>
      <c r="N80" s="18" t="s">
        <v>51</v>
      </c>
      <c r="O80" s="13" t="str">
        <f t="shared" si="37"/>
        <v/>
      </c>
      <c r="P80" s="66"/>
      <c r="Q80" s="69"/>
      <c r="R80" s="62" t="str">
        <f t="shared" si="38"/>
        <v/>
      </c>
      <c r="AA80" s="2"/>
    </row>
    <row r="81" ht="12.75" customHeight="1">
      <c r="A81" s="17"/>
      <c r="B81" s="18" t="s">
        <v>52</v>
      </c>
      <c r="C81" s="33">
        <f>SUM(C66:C80)</f>
        <v>2</v>
      </c>
      <c r="D81" s="33">
        <f>COUNTIFS(D66:D80, "&lt;&gt;0", D66:D80, "&lt;&gt;", E66:E80, "&lt;&gt;0", E66:E80, "&lt;&gt;")</f>
        <v>0</v>
      </c>
      <c r="E81" s="33">
        <f>COUNTIFS(D66:D80, "&lt;&gt;0", D66:D80, "&lt;&gt;", E66:E80, "&lt;&gt;0", E66:E80, "&lt;&gt;")</f>
        <v>0</v>
      </c>
      <c r="F81" s="33">
        <f>SUM(F66:F80)</f>
        <v>16</v>
      </c>
      <c r="H81" s="18" t="s">
        <v>52</v>
      </c>
      <c r="I81" s="33">
        <f>SUM(I66:I80)</f>
        <v>7</v>
      </c>
      <c r="J81" s="33">
        <f>COUNTIFS(J66:J80, "&lt;&gt;0", J66:J80, "&lt;&gt;", K66:K80, "&lt;&gt;0", K66:K80, "&lt;&gt;")</f>
        <v>1</v>
      </c>
      <c r="K81" s="33">
        <f>COUNTIFS(J66:J80, "&lt;&gt;0", J66:J80, "&lt;&gt;", K66:K80, "&lt;&gt;0", K66:K80, "&lt;&gt;")</f>
        <v>1</v>
      </c>
      <c r="L81" s="33">
        <f>SUM(L66:L80)</f>
        <v>12</v>
      </c>
      <c r="N81" s="18" t="s">
        <v>52</v>
      </c>
      <c r="O81" s="33">
        <f>SUM(O66:O80)</f>
        <v>16</v>
      </c>
      <c r="P81" s="33">
        <f>COUNTIFS(P66:P80, "&lt;&gt;0", P66:P80, "&lt;&gt;", Q66:Q80, "&lt;&gt;0", Q66:Q80, "&lt;&gt;")</f>
        <v>3</v>
      </c>
      <c r="Q81" s="33">
        <f>COUNTIFS(P66:P80, "&lt;&gt;0", P66:P80, "&lt;&gt;", Q66:Q80, "&lt;&gt;0", Q66:Q80, "&lt;&gt;")</f>
        <v>3</v>
      </c>
      <c r="R81" s="33">
        <f>SUM(R66:R80)</f>
        <v>2</v>
      </c>
      <c r="AA81" s="2"/>
    </row>
    <row r="82" ht="12.75" customHeight="1">
      <c r="A82" s="17"/>
      <c r="B82" s="17" t="s">
        <v>53</v>
      </c>
      <c r="C82" s="70">
        <f>D82</f>
        <v>-1</v>
      </c>
      <c r="D82" s="71">
        <f>IF(C81&gt;F81, 1, (IF(C81=F81, 0, -1)))</f>
        <v>-1</v>
      </c>
      <c r="E82" s="33">
        <f>IF(F81&gt;C81, 1, (IF(F81=C81, 0, -1)))</f>
        <v>1</v>
      </c>
      <c r="F82" s="70">
        <f>E82</f>
        <v>1</v>
      </c>
      <c r="H82" s="17" t="s">
        <v>53</v>
      </c>
      <c r="I82" s="70">
        <f>J82</f>
        <v>-1</v>
      </c>
      <c r="J82" s="71">
        <f>IF(I81&gt;L81, 1, (IF(I81=L81, 0, -1)))</f>
        <v>-1</v>
      </c>
      <c r="K82" s="33">
        <f>IF(L81&gt;I81, 1, (IF(L81=I81, 0, -1)))</f>
        <v>1</v>
      </c>
      <c r="L82" s="70">
        <f>K82</f>
        <v>1</v>
      </c>
      <c r="N82" s="17" t="s">
        <v>53</v>
      </c>
      <c r="O82" s="70">
        <f>P82</f>
        <v>1</v>
      </c>
      <c r="P82" s="71">
        <f>IF(O81&gt;R81, 1, (IF(O81=R81, 0, -1)))</f>
        <v>1</v>
      </c>
      <c r="Q82" s="33">
        <f>IF(R81&gt;O81, 1, (IF(R81=O81, 0, -1)))</f>
        <v>-1</v>
      </c>
      <c r="R82" s="70">
        <f>Q82</f>
        <v>-1</v>
      </c>
      <c r="AA82" s="2"/>
    </row>
    <row r="83" ht="12.75" customHeight="1">
      <c r="A83" s="72"/>
      <c r="B83" s="72"/>
      <c r="H83" s="72"/>
      <c r="N83" s="72"/>
      <c r="AA83" s="2"/>
    </row>
    <row r="84" ht="12.75" customHeight="1">
      <c r="A84" s="72"/>
      <c r="B84" s="72"/>
      <c r="H84" s="72"/>
      <c r="N84" s="72"/>
      <c r="AA84" s="2"/>
    </row>
    <row r="85" ht="12.75" customHeight="1">
      <c r="A85" s="17"/>
      <c r="B85" s="18" t="s">
        <v>14</v>
      </c>
      <c r="C85" s="58" t="str">
        <f>T19</f>
        <v>Maarten</v>
      </c>
      <c r="D85" s="15"/>
      <c r="E85" s="59" t="str">
        <f>T18</f>
        <v>Jesse</v>
      </c>
      <c r="F85" s="15"/>
      <c r="H85" s="18" t="s">
        <v>25</v>
      </c>
      <c r="I85" s="58" t="str">
        <f>T14</f>
        <v>Arjan</v>
      </c>
      <c r="J85" s="15"/>
      <c r="K85" s="59" t="str">
        <f>T16</f>
        <v>Eva</v>
      </c>
      <c r="L85" s="15"/>
      <c r="N85" s="18" t="s">
        <v>32</v>
      </c>
      <c r="O85" s="58" t="str">
        <f>T17</f>
        <v>Rory</v>
      </c>
      <c r="P85" s="15"/>
      <c r="Q85" s="59" t="str">
        <f>T19</f>
        <v>Maarten</v>
      </c>
      <c r="R85" s="15"/>
      <c r="AA85" s="2"/>
    </row>
    <row r="86" ht="12.75" customHeight="1">
      <c r="A86" s="17"/>
      <c r="B86" s="18" t="s">
        <v>36</v>
      </c>
      <c r="C86" s="13" t="str">
        <f t="shared" ref="C86:C100" si="39">IF(AND(D86&gt;0,E86&gt;0), 0, D86)</f>
        <v/>
      </c>
      <c r="D86" s="65"/>
      <c r="E86" s="61">
        <v>2.0</v>
      </c>
      <c r="F86" s="62">
        <f t="shared" ref="F86:F100" si="40">IF(AND(D86&gt;0,E86&gt;0), 0, E86)</f>
        <v>2</v>
      </c>
      <c r="H86" s="18" t="s">
        <v>36</v>
      </c>
      <c r="I86" s="13">
        <f t="shared" ref="I86:I100" si="41">IF(AND(J86&gt;0,K86&gt;0), 0, J86)</f>
        <v>0</v>
      </c>
      <c r="J86" s="60">
        <v>2.0</v>
      </c>
      <c r="K86" s="61">
        <v>2.0</v>
      </c>
      <c r="L86" s="62">
        <f t="shared" ref="L86:L100" si="42">IF(AND(J86&gt;0,K86&gt;0), 0, K86)</f>
        <v>0</v>
      </c>
      <c r="N86" s="18" t="s">
        <v>36</v>
      </c>
      <c r="O86" s="13">
        <f t="shared" ref="O86:O100" si="43">IF(AND(P86&gt;0,Q86&gt;0), 0, P86)</f>
        <v>2</v>
      </c>
      <c r="P86" s="60">
        <v>2.0</v>
      </c>
      <c r="Q86" s="64"/>
      <c r="R86" s="62" t="str">
        <f t="shared" ref="R86:R100" si="44">IF(AND(P86&gt;0,Q86&gt;0), 0, Q86)</f>
        <v/>
      </c>
      <c r="AA86" s="2"/>
    </row>
    <row r="87" ht="12.75" customHeight="1">
      <c r="A87" s="17"/>
      <c r="B87" s="18" t="s">
        <v>37</v>
      </c>
      <c r="C87" s="13">
        <f t="shared" si="39"/>
        <v>3</v>
      </c>
      <c r="D87" s="60">
        <v>3.0</v>
      </c>
      <c r="E87" s="61"/>
      <c r="F87" s="62" t="str">
        <f t="shared" si="40"/>
        <v/>
      </c>
      <c r="H87" s="18" t="s">
        <v>37</v>
      </c>
      <c r="I87" s="13">
        <f t="shared" si="41"/>
        <v>0</v>
      </c>
      <c r="J87" s="60">
        <v>2.0</v>
      </c>
      <c r="K87" s="61">
        <v>3.0</v>
      </c>
      <c r="L87" s="62">
        <f t="shared" si="42"/>
        <v>0</v>
      </c>
      <c r="N87" s="18" t="s">
        <v>37</v>
      </c>
      <c r="O87" s="13">
        <f t="shared" si="43"/>
        <v>0</v>
      </c>
      <c r="P87" s="60">
        <v>2.0</v>
      </c>
      <c r="Q87" s="61">
        <v>2.0</v>
      </c>
      <c r="R87" s="62">
        <f t="shared" si="44"/>
        <v>0</v>
      </c>
      <c r="AA87" s="2"/>
    </row>
    <row r="88" ht="12.75" customHeight="1">
      <c r="A88" s="17"/>
      <c r="B88" s="18" t="s">
        <v>38</v>
      </c>
      <c r="C88" s="13" t="str">
        <f t="shared" si="39"/>
        <v/>
      </c>
      <c r="D88" s="60"/>
      <c r="E88" s="61">
        <v>3.0</v>
      </c>
      <c r="F88" s="62">
        <f t="shared" si="40"/>
        <v>3</v>
      </c>
      <c r="H88" s="18" t="s">
        <v>38</v>
      </c>
      <c r="I88" s="13">
        <f t="shared" si="41"/>
        <v>0</v>
      </c>
      <c r="J88" s="60">
        <v>2.0</v>
      </c>
      <c r="K88" s="61">
        <v>2.0</v>
      </c>
      <c r="L88" s="62">
        <f t="shared" si="42"/>
        <v>0</v>
      </c>
      <c r="N88" s="18" t="s">
        <v>38</v>
      </c>
      <c r="O88" s="13" t="str">
        <f t="shared" si="43"/>
        <v/>
      </c>
      <c r="P88" s="65"/>
      <c r="Q88" s="61">
        <v>2.0</v>
      </c>
      <c r="R88" s="62">
        <f t="shared" si="44"/>
        <v>2</v>
      </c>
      <c r="AA88" s="2"/>
    </row>
    <row r="89" ht="12.75" customHeight="1">
      <c r="A89" s="17"/>
      <c r="B89" s="18" t="s">
        <v>39</v>
      </c>
      <c r="C89" s="13" t="str">
        <f t="shared" si="39"/>
        <v/>
      </c>
      <c r="D89" s="65"/>
      <c r="E89" s="61">
        <v>3.0</v>
      </c>
      <c r="F89" s="62">
        <f t="shared" si="40"/>
        <v>3</v>
      </c>
      <c r="H89" s="18" t="s">
        <v>39</v>
      </c>
      <c r="I89" s="13">
        <f t="shared" si="41"/>
        <v>3</v>
      </c>
      <c r="J89" s="60">
        <v>3.0</v>
      </c>
      <c r="K89" s="64"/>
      <c r="L89" s="62" t="str">
        <f t="shared" si="42"/>
        <v/>
      </c>
      <c r="N89" s="18" t="s">
        <v>39</v>
      </c>
      <c r="O89" s="13">
        <f t="shared" si="43"/>
        <v>3</v>
      </c>
      <c r="P89" s="60">
        <v>3.0</v>
      </c>
      <c r="Q89" s="64"/>
      <c r="R89" s="62" t="str">
        <f t="shared" si="44"/>
        <v/>
      </c>
      <c r="AA89" s="2"/>
    </row>
    <row r="90" ht="12.75" customHeight="1">
      <c r="A90" s="17"/>
      <c r="B90" s="18" t="s">
        <v>40</v>
      </c>
      <c r="C90" s="13">
        <f t="shared" si="39"/>
        <v>0</v>
      </c>
      <c r="D90" s="60">
        <v>3.0</v>
      </c>
      <c r="E90" s="61">
        <v>3.0</v>
      </c>
      <c r="F90" s="62">
        <f t="shared" si="40"/>
        <v>0</v>
      </c>
      <c r="H90" s="18" t="s">
        <v>40</v>
      </c>
      <c r="I90" s="13">
        <f t="shared" si="41"/>
        <v>3</v>
      </c>
      <c r="J90" s="68">
        <v>3.0</v>
      </c>
      <c r="K90" s="69"/>
      <c r="L90" s="62" t="str">
        <f t="shared" si="42"/>
        <v/>
      </c>
      <c r="N90" s="18" t="s">
        <v>40</v>
      </c>
      <c r="O90" s="13">
        <f t="shared" si="43"/>
        <v>3</v>
      </c>
      <c r="P90" s="60">
        <v>3.0</v>
      </c>
      <c r="Q90" s="64"/>
      <c r="R90" s="62" t="str">
        <f t="shared" si="44"/>
        <v/>
      </c>
      <c r="AA90" s="2"/>
    </row>
    <row r="91" ht="12.75" customHeight="1">
      <c r="A91" s="17"/>
      <c r="B91" s="18" t="s">
        <v>42</v>
      </c>
      <c r="C91" s="13">
        <f t="shared" si="39"/>
        <v>2</v>
      </c>
      <c r="D91" s="60">
        <v>2.0</v>
      </c>
      <c r="E91" s="64"/>
      <c r="F91" s="62" t="str">
        <f t="shared" si="40"/>
        <v/>
      </c>
      <c r="H91" s="18" t="s">
        <v>42</v>
      </c>
      <c r="I91" s="13">
        <f t="shared" si="41"/>
        <v>0</v>
      </c>
      <c r="J91" s="68">
        <v>2.0</v>
      </c>
      <c r="K91" s="67">
        <v>3.0</v>
      </c>
      <c r="L91" s="62">
        <f t="shared" si="42"/>
        <v>0</v>
      </c>
      <c r="N91" s="18" t="s">
        <v>42</v>
      </c>
      <c r="O91" s="13">
        <f t="shared" si="43"/>
        <v>0</v>
      </c>
      <c r="P91" s="60">
        <v>3.0</v>
      </c>
      <c r="Q91" s="61">
        <v>2.0</v>
      </c>
      <c r="R91" s="62">
        <f t="shared" si="44"/>
        <v>0</v>
      </c>
      <c r="AA91" s="2"/>
    </row>
    <row r="92" ht="12.75" customHeight="1">
      <c r="A92" s="17"/>
      <c r="B92" s="18" t="s">
        <v>43</v>
      </c>
      <c r="C92" s="13">
        <f t="shared" si="39"/>
        <v>2</v>
      </c>
      <c r="D92" s="60">
        <v>2.0</v>
      </c>
      <c r="E92" s="64"/>
      <c r="F92" s="62" t="str">
        <f t="shared" si="40"/>
        <v/>
      </c>
      <c r="H92" s="18" t="s">
        <v>43</v>
      </c>
      <c r="I92" s="13">
        <f t="shared" si="41"/>
        <v>3</v>
      </c>
      <c r="J92" s="68">
        <v>3.0</v>
      </c>
      <c r="K92" s="69"/>
      <c r="L92" s="62" t="str">
        <f t="shared" si="42"/>
        <v/>
      </c>
      <c r="N92" s="18" t="s">
        <v>43</v>
      </c>
      <c r="O92" s="13">
        <f t="shared" si="43"/>
        <v>0</v>
      </c>
      <c r="P92" s="60">
        <v>2.0</v>
      </c>
      <c r="Q92" s="61">
        <v>2.0</v>
      </c>
      <c r="R92" s="62">
        <f t="shared" si="44"/>
        <v>0</v>
      </c>
      <c r="AA92" s="2"/>
    </row>
    <row r="93" ht="12.75" customHeight="1">
      <c r="A93" s="17"/>
      <c r="B93" s="18" t="s">
        <v>44</v>
      </c>
      <c r="C93" s="13" t="str">
        <f t="shared" si="39"/>
        <v/>
      </c>
      <c r="D93" s="65"/>
      <c r="E93" s="61">
        <v>3.0</v>
      </c>
      <c r="F93" s="62">
        <f t="shared" si="40"/>
        <v>3</v>
      </c>
      <c r="H93" s="18" t="s">
        <v>44</v>
      </c>
      <c r="I93" s="13">
        <f t="shared" si="41"/>
        <v>2</v>
      </c>
      <c r="J93" s="68">
        <v>2.0</v>
      </c>
      <c r="K93" s="69"/>
      <c r="L93" s="62" t="str">
        <f t="shared" si="42"/>
        <v/>
      </c>
      <c r="N93" s="18" t="s">
        <v>44</v>
      </c>
      <c r="O93" s="13">
        <f t="shared" si="43"/>
        <v>0</v>
      </c>
      <c r="P93" s="60">
        <v>3.0</v>
      </c>
      <c r="Q93" s="61">
        <v>3.0</v>
      </c>
      <c r="R93" s="62">
        <f t="shared" si="44"/>
        <v>0</v>
      </c>
      <c r="AA93" s="2"/>
    </row>
    <row r="94" ht="12.75" customHeight="1">
      <c r="A94" s="17"/>
      <c r="B94" s="18" t="s">
        <v>45</v>
      </c>
      <c r="C94" s="13" t="str">
        <f t="shared" si="39"/>
        <v/>
      </c>
      <c r="D94" s="65"/>
      <c r="E94" s="61">
        <v>2.0</v>
      </c>
      <c r="F94" s="62">
        <f t="shared" si="40"/>
        <v>2</v>
      </c>
      <c r="H94" s="18" t="s">
        <v>45</v>
      </c>
      <c r="I94" s="13" t="str">
        <f t="shared" si="41"/>
        <v/>
      </c>
      <c r="J94" s="66"/>
      <c r="K94" s="69"/>
      <c r="L94" s="62" t="str">
        <f t="shared" si="42"/>
        <v/>
      </c>
      <c r="N94" s="18" t="s">
        <v>45</v>
      </c>
      <c r="O94" s="13" t="str">
        <f t="shared" si="43"/>
        <v/>
      </c>
      <c r="P94" s="65"/>
      <c r="Q94" s="61">
        <v>2.0</v>
      </c>
      <c r="R94" s="62">
        <f t="shared" si="44"/>
        <v>2</v>
      </c>
      <c r="AA94" s="2"/>
    </row>
    <row r="95" ht="12.75" customHeight="1">
      <c r="A95" s="17"/>
      <c r="B95" s="18" t="s">
        <v>46</v>
      </c>
      <c r="C95" s="13" t="str">
        <f t="shared" si="39"/>
        <v/>
      </c>
      <c r="D95" s="66"/>
      <c r="E95" s="67">
        <v>3.0</v>
      </c>
      <c r="F95" s="62">
        <f t="shared" si="40"/>
        <v>3</v>
      </c>
      <c r="H95" s="18" t="s">
        <v>46</v>
      </c>
      <c r="I95" s="13" t="str">
        <f t="shared" si="41"/>
        <v/>
      </c>
      <c r="J95" s="66"/>
      <c r="K95" s="69"/>
      <c r="L95" s="62" t="str">
        <f t="shared" si="42"/>
        <v/>
      </c>
      <c r="N95" s="18" t="s">
        <v>46</v>
      </c>
      <c r="O95" s="13">
        <f t="shared" si="43"/>
        <v>3</v>
      </c>
      <c r="P95" s="60">
        <v>3.0</v>
      </c>
      <c r="Q95" s="64"/>
      <c r="R95" s="62" t="str">
        <f t="shared" si="44"/>
        <v/>
      </c>
      <c r="AA95" s="2"/>
    </row>
    <row r="96" ht="12.75" customHeight="1">
      <c r="A96" s="17"/>
      <c r="B96" s="18" t="s">
        <v>47</v>
      </c>
      <c r="C96" s="13" t="str">
        <f t="shared" si="39"/>
        <v/>
      </c>
      <c r="D96" s="66"/>
      <c r="E96" s="69"/>
      <c r="F96" s="62" t="str">
        <f t="shared" si="40"/>
        <v/>
      </c>
      <c r="H96" s="18" t="s">
        <v>47</v>
      </c>
      <c r="I96" s="13" t="str">
        <f t="shared" si="41"/>
        <v/>
      </c>
      <c r="J96" s="66"/>
      <c r="K96" s="69"/>
      <c r="L96" s="62" t="str">
        <f t="shared" si="42"/>
        <v/>
      </c>
      <c r="N96" s="18" t="s">
        <v>47</v>
      </c>
      <c r="O96" s="13">
        <f t="shared" si="43"/>
        <v>2</v>
      </c>
      <c r="P96" s="60">
        <v>2.0</v>
      </c>
      <c r="Q96" s="64"/>
      <c r="R96" s="62" t="str">
        <f t="shared" si="44"/>
        <v/>
      </c>
      <c r="AA96" s="2"/>
    </row>
    <row r="97" ht="12.75" customHeight="1">
      <c r="A97" s="17"/>
      <c r="B97" s="18" t="s">
        <v>48</v>
      </c>
      <c r="C97" s="13" t="str">
        <f t="shared" si="39"/>
        <v/>
      </c>
      <c r="D97" s="66"/>
      <c r="E97" s="69"/>
      <c r="F97" s="62" t="str">
        <f t="shared" si="40"/>
        <v/>
      </c>
      <c r="H97" s="18" t="s">
        <v>48</v>
      </c>
      <c r="I97" s="13" t="str">
        <f t="shared" si="41"/>
        <v/>
      </c>
      <c r="J97" s="66"/>
      <c r="K97" s="69"/>
      <c r="L97" s="62" t="str">
        <f t="shared" si="42"/>
        <v/>
      </c>
      <c r="N97" s="18" t="s">
        <v>48</v>
      </c>
      <c r="O97" s="13" t="str">
        <f t="shared" si="43"/>
        <v/>
      </c>
      <c r="P97" s="65"/>
      <c r="Q97" s="64"/>
      <c r="R97" s="62" t="str">
        <f t="shared" si="44"/>
        <v/>
      </c>
      <c r="AA97" s="2"/>
    </row>
    <row r="98" ht="12.75" customHeight="1">
      <c r="A98" s="17"/>
      <c r="B98" s="18" t="s">
        <v>49</v>
      </c>
      <c r="C98" s="13" t="str">
        <f t="shared" si="39"/>
        <v/>
      </c>
      <c r="D98" s="66"/>
      <c r="E98" s="69"/>
      <c r="F98" s="62" t="str">
        <f t="shared" si="40"/>
        <v/>
      </c>
      <c r="H98" s="18" t="s">
        <v>49</v>
      </c>
      <c r="I98" s="13" t="str">
        <f t="shared" si="41"/>
        <v/>
      </c>
      <c r="J98" s="66"/>
      <c r="K98" s="69"/>
      <c r="L98" s="62" t="str">
        <f t="shared" si="42"/>
        <v/>
      </c>
      <c r="N98" s="18" t="s">
        <v>49</v>
      </c>
      <c r="O98" s="13" t="str">
        <f t="shared" si="43"/>
        <v/>
      </c>
      <c r="P98" s="65"/>
      <c r="Q98" s="64"/>
      <c r="R98" s="62" t="str">
        <f t="shared" si="44"/>
        <v/>
      </c>
      <c r="AA98" s="2"/>
    </row>
    <row r="99" ht="12.75" customHeight="1">
      <c r="A99" s="17"/>
      <c r="B99" s="18" t="s">
        <v>50</v>
      </c>
      <c r="C99" s="13" t="str">
        <f t="shared" si="39"/>
        <v/>
      </c>
      <c r="D99" s="66"/>
      <c r="E99" s="69"/>
      <c r="F99" s="62" t="str">
        <f t="shared" si="40"/>
        <v/>
      </c>
      <c r="H99" s="18" t="s">
        <v>50</v>
      </c>
      <c r="I99" s="13" t="str">
        <f t="shared" si="41"/>
        <v/>
      </c>
      <c r="J99" s="66"/>
      <c r="K99" s="69"/>
      <c r="L99" s="62" t="str">
        <f t="shared" si="42"/>
        <v/>
      </c>
      <c r="N99" s="18" t="s">
        <v>50</v>
      </c>
      <c r="O99" s="13" t="str">
        <f t="shared" si="43"/>
        <v/>
      </c>
      <c r="P99" s="65"/>
      <c r="Q99" s="64"/>
      <c r="R99" s="62" t="str">
        <f t="shared" si="44"/>
        <v/>
      </c>
      <c r="AA99" s="2"/>
    </row>
    <row r="100" ht="12.75" customHeight="1">
      <c r="A100" s="17"/>
      <c r="B100" s="18" t="s">
        <v>51</v>
      </c>
      <c r="C100" s="13" t="str">
        <f t="shared" si="39"/>
        <v/>
      </c>
      <c r="D100" s="66"/>
      <c r="E100" s="69"/>
      <c r="F100" s="62" t="str">
        <f t="shared" si="40"/>
        <v/>
      </c>
      <c r="H100" s="18" t="s">
        <v>51</v>
      </c>
      <c r="I100" s="13" t="str">
        <f t="shared" si="41"/>
        <v/>
      </c>
      <c r="J100" s="66"/>
      <c r="K100" s="69"/>
      <c r="L100" s="62" t="str">
        <f t="shared" si="42"/>
        <v/>
      </c>
      <c r="N100" s="18" t="s">
        <v>51</v>
      </c>
      <c r="O100" s="13" t="str">
        <f t="shared" si="43"/>
        <v/>
      </c>
      <c r="P100" s="66"/>
      <c r="Q100" s="69"/>
      <c r="R100" s="62" t="str">
        <f t="shared" si="44"/>
        <v/>
      </c>
      <c r="AA100" s="2"/>
    </row>
    <row r="101" ht="12.75" customHeight="1">
      <c r="A101" s="17"/>
      <c r="B101" s="18" t="s">
        <v>52</v>
      </c>
      <c r="C101" s="33">
        <f>SUM(C86:C100)</f>
        <v>7</v>
      </c>
      <c r="D101" s="33">
        <f>COUNTIFS(D86:D100, "&lt;&gt;0", D86:D100, "&lt;&gt;", E86:E100, "&lt;&gt;0", E86:E100, "&lt;&gt;")</f>
        <v>1</v>
      </c>
      <c r="E101" s="33">
        <f>COUNTIFS(D86:D100, "&lt;&gt;0", D86:D100, "&lt;&gt;", E86:E100, "&lt;&gt;0", E86:E100, "&lt;&gt;")</f>
        <v>1</v>
      </c>
      <c r="F101" s="33">
        <f>SUM(F86:F100)</f>
        <v>16</v>
      </c>
      <c r="H101" s="18" t="s">
        <v>52</v>
      </c>
      <c r="I101" s="33">
        <f>SUM(I86:I100)</f>
        <v>11</v>
      </c>
      <c r="J101" s="33">
        <f>COUNTIFS(J86:J100, "&lt;&gt;0", J86:J100, "&lt;&gt;", K86:K100, "&lt;&gt;0", K86:K100, "&lt;&gt;")</f>
        <v>4</v>
      </c>
      <c r="K101" s="33">
        <f>COUNTIFS(J86:J100, "&lt;&gt;0", J86:J100, "&lt;&gt;", K86:K100, "&lt;&gt;0", K86:K100, "&lt;&gt;")</f>
        <v>4</v>
      </c>
      <c r="L101" s="33">
        <f>SUM(L86:L100)</f>
        <v>0</v>
      </c>
      <c r="N101" s="18" t="s">
        <v>52</v>
      </c>
      <c r="O101" s="33">
        <f>SUM(O86:O100)</f>
        <v>13</v>
      </c>
      <c r="P101" s="33">
        <f>COUNTIFS(P86:P100, "&lt;&gt;0", P86:P100, "&lt;&gt;", Q86:Q100, "&lt;&gt;0", Q86:Q100, "&lt;&gt;")</f>
        <v>4</v>
      </c>
      <c r="Q101" s="33">
        <f>COUNTIFS(P86:P100, "&lt;&gt;0", P86:P100, "&lt;&gt;", Q86:Q100, "&lt;&gt;0", Q86:Q100, "&lt;&gt;")</f>
        <v>4</v>
      </c>
      <c r="R101" s="33">
        <f>SUM(R86:R100)</f>
        <v>4</v>
      </c>
      <c r="AA101" s="2"/>
    </row>
    <row r="102" ht="12.75" customHeight="1">
      <c r="A102" s="17"/>
      <c r="B102" s="17" t="s">
        <v>53</v>
      </c>
      <c r="C102" s="70">
        <f>D102</f>
        <v>-1</v>
      </c>
      <c r="D102" s="71">
        <f>IF(C101&gt;F101, 1, (IF(C101=F101, 0, -1)))</f>
        <v>-1</v>
      </c>
      <c r="E102" s="33">
        <f>IF(F101&gt;C101, 1, (IF(F101=C101, 0, -1)))</f>
        <v>1</v>
      </c>
      <c r="F102" s="70">
        <f>E102</f>
        <v>1</v>
      </c>
      <c r="H102" s="17" t="s">
        <v>53</v>
      </c>
      <c r="I102" s="70">
        <f>J102</f>
        <v>1</v>
      </c>
      <c r="J102" s="71">
        <f>IF(I101&gt;L101, 1, (IF(I101=L101, 0, -1)))</f>
        <v>1</v>
      </c>
      <c r="K102" s="33">
        <f>IF(L101&gt;I101, 1, (IF(L101=I101, 0, -1)))</f>
        <v>-1</v>
      </c>
      <c r="L102" s="70">
        <f>K102</f>
        <v>-1</v>
      </c>
      <c r="N102" s="17" t="s">
        <v>53</v>
      </c>
      <c r="O102" s="70">
        <f>P102</f>
        <v>1</v>
      </c>
      <c r="P102" s="71">
        <f>IF(O101&gt;R101, 1, (IF(O101=R101, 0, -1)))</f>
        <v>1</v>
      </c>
      <c r="Q102" s="33">
        <f>IF(R101&gt;O101, 1, (IF(R101=O101, 0, -1)))</f>
        <v>-1</v>
      </c>
      <c r="R102" s="70">
        <f>Q102</f>
        <v>-1</v>
      </c>
      <c r="AA102" s="2"/>
    </row>
    <row r="103" ht="12.75" customHeight="1">
      <c r="A103" s="72"/>
      <c r="B103" s="72"/>
      <c r="H103" s="72"/>
      <c r="N103" s="72"/>
      <c r="AA103" s="2"/>
    </row>
    <row r="104" ht="12.75" customHeight="1">
      <c r="A104" s="72"/>
      <c r="B104" s="72"/>
      <c r="H104" s="72"/>
      <c r="N104" s="72"/>
      <c r="AA104" s="2"/>
    </row>
    <row r="105" ht="12.75" customHeight="1">
      <c r="A105" s="17"/>
      <c r="B105" s="18" t="s">
        <v>17</v>
      </c>
      <c r="C105" s="58" t="str">
        <f>T14</f>
        <v>Arjan</v>
      </c>
      <c r="D105" s="15"/>
      <c r="E105" s="59" t="str">
        <f>T15</f>
        <v>Willem</v>
      </c>
      <c r="F105" s="15"/>
      <c r="H105" s="18" t="s">
        <v>26</v>
      </c>
      <c r="I105" s="58" t="str">
        <f>T15</f>
        <v>Willem</v>
      </c>
      <c r="J105" s="15"/>
      <c r="K105" s="59" t="str">
        <f>T17</f>
        <v>Rory</v>
      </c>
      <c r="L105" s="15"/>
      <c r="N105" s="18" t="s">
        <v>33</v>
      </c>
      <c r="O105" s="58" t="str">
        <f>T14</f>
        <v>Arjan</v>
      </c>
      <c r="P105" s="15"/>
      <c r="Q105" s="59" t="str">
        <f>T18</f>
        <v>Jesse</v>
      </c>
      <c r="R105" s="15"/>
      <c r="AA105" s="2"/>
    </row>
    <row r="106" ht="12.75" customHeight="1">
      <c r="A106" s="17"/>
      <c r="B106" s="18" t="s">
        <v>36</v>
      </c>
      <c r="C106" s="13" t="str">
        <f t="shared" ref="C106:C120" si="45">IF(AND(D106&gt;0,E106&gt;0), 0, D106)</f>
        <v/>
      </c>
      <c r="D106" s="65"/>
      <c r="E106" s="64"/>
      <c r="F106" s="62" t="str">
        <f t="shared" ref="F106:F120" si="46">IF(AND(D106&gt;0,E106&gt;0), 0, E106)</f>
        <v/>
      </c>
      <c r="H106" s="18" t="s">
        <v>36</v>
      </c>
      <c r="I106" s="13">
        <f t="shared" ref="I106:I120" si="47">IF(AND(J106&gt;0,K106&gt;0), 0, J106)</f>
        <v>2</v>
      </c>
      <c r="J106" s="60">
        <v>2.0</v>
      </c>
      <c r="K106" s="61"/>
      <c r="L106" s="62" t="str">
        <f t="shared" ref="L106:L120" si="48">IF(AND(J106&gt;0,K106&gt;0), 0, K106)</f>
        <v/>
      </c>
      <c r="N106" s="18" t="s">
        <v>36</v>
      </c>
      <c r="O106" s="13" t="str">
        <f t="shared" ref="O106:O120" si="49">IF(AND(P106&gt;0,Q106&gt;0), 0, P106)</f>
        <v/>
      </c>
      <c r="P106" s="65"/>
      <c r="Q106" s="61">
        <v>3.0</v>
      </c>
      <c r="R106" s="62">
        <f t="shared" ref="R106:R120" si="50">IF(AND(P106&gt;0,Q106&gt;0), 0, Q106)</f>
        <v>3</v>
      </c>
      <c r="AA106" s="2"/>
    </row>
    <row r="107" ht="12.75" customHeight="1">
      <c r="A107" s="17"/>
      <c r="B107" s="18" t="s">
        <v>37</v>
      </c>
      <c r="C107" s="13">
        <f t="shared" si="45"/>
        <v>2</v>
      </c>
      <c r="D107" s="60">
        <v>2.0</v>
      </c>
      <c r="E107" s="64"/>
      <c r="F107" s="62" t="str">
        <f t="shared" si="46"/>
        <v/>
      </c>
      <c r="H107" s="18" t="s">
        <v>37</v>
      </c>
      <c r="I107" s="13" t="str">
        <f t="shared" si="47"/>
        <v/>
      </c>
      <c r="J107" s="65"/>
      <c r="K107" s="61"/>
      <c r="L107" s="62" t="str">
        <f t="shared" si="48"/>
        <v/>
      </c>
      <c r="N107" s="18" t="s">
        <v>37</v>
      </c>
      <c r="O107" s="13" t="str">
        <f t="shared" si="49"/>
        <v/>
      </c>
      <c r="P107" s="65"/>
      <c r="Q107" s="61">
        <v>2.0</v>
      </c>
      <c r="R107" s="62">
        <f t="shared" si="50"/>
        <v>2</v>
      </c>
      <c r="AA107" s="2"/>
    </row>
    <row r="108" ht="12.75" customHeight="1">
      <c r="A108" s="17"/>
      <c r="B108" s="18" t="s">
        <v>38</v>
      </c>
      <c r="C108" s="13" t="str">
        <f t="shared" si="45"/>
        <v/>
      </c>
      <c r="D108" s="65"/>
      <c r="E108" s="61">
        <v>3.0</v>
      </c>
      <c r="F108" s="62">
        <f t="shared" si="46"/>
        <v>3</v>
      </c>
      <c r="H108" s="18" t="s">
        <v>38</v>
      </c>
      <c r="I108" s="13">
        <f t="shared" si="47"/>
        <v>0</v>
      </c>
      <c r="J108" s="60">
        <v>2.0</v>
      </c>
      <c r="K108" s="61">
        <v>2.0</v>
      </c>
      <c r="L108" s="62">
        <f t="shared" si="48"/>
        <v>0</v>
      </c>
      <c r="N108" s="18" t="s">
        <v>38</v>
      </c>
      <c r="O108" s="13">
        <f t="shared" si="49"/>
        <v>0</v>
      </c>
      <c r="P108" s="60">
        <v>3.0</v>
      </c>
      <c r="Q108" s="61">
        <v>2.0</v>
      </c>
      <c r="R108" s="62">
        <f t="shared" si="50"/>
        <v>0</v>
      </c>
      <c r="AA108" s="2"/>
    </row>
    <row r="109" ht="12.75" customHeight="1">
      <c r="A109" s="17"/>
      <c r="B109" s="18" t="s">
        <v>39</v>
      </c>
      <c r="C109" s="13" t="str">
        <f t="shared" si="45"/>
        <v/>
      </c>
      <c r="D109" s="65"/>
      <c r="E109" s="64"/>
      <c r="F109" s="62" t="str">
        <f t="shared" si="46"/>
        <v/>
      </c>
      <c r="H109" s="18" t="s">
        <v>39</v>
      </c>
      <c r="I109" s="13">
        <f t="shared" si="47"/>
        <v>0</v>
      </c>
      <c r="J109" s="60">
        <v>3.0</v>
      </c>
      <c r="K109" s="61">
        <v>2.0</v>
      </c>
      <c r="L109" s="62">
        <f t="shared" si="48"/>
        <v>0</v>
      </c>
      <c r="N109" s="18" t="s">
        <v>39</v>
      </c>
      <c r="O109" s="13" t="str">
        <f t="shared" si="49"/>
        <v/>
      </c>
      <c r="P109" s="65"/>
      <c r="Q109" s="61">
        <v>3.0</v>
      </c>
      <c r="R109" s="62">
        <f t="shared" si="50"/>
        <v>3</v>
      </c>
      <c r="AA109" s="2"/>
    </row>
    <row r="110" ht="12.75" customHeight="1">
      <c r="A110" s="17"/>
      <c r="B110" s="18" t="s">
        <v>40</v>
      </c>
      <c r="C110" s="13" t="str">
        <f t="shared" si="45"/>
        <v/>
      </c>
      <c r="D110" s="65"/>
      <c r="E110" s="61">
        <v>2.0</v>
      </c>
      <c r="F110" s="62">
        <f t="shared" si="46"/>
        <v>2</v>
      </c>
      <c r="H110" s="18" t="s">
        <v>40</v>
      </c>
      <c r="I110" s="13">
        <f t="shared" si="47"/>
        <v>0</v>
      </c>
      <c r="J110" s="60">
        <v>2.0</v>
      </c>
      <c r="K110" s="61">
        <v>2.0</v>
      </c>
      <c r="L110" s="62">
        <f t="shared" si="48"/>
        <v>0</v>
      </c>
      <c r="N110" s="18" t="s">
        <v>40</v>
      </c>
      <c r="O110" s="13" t="str">
        <f t="shared" si="49"/>
        <v/>
      </c>
      <c r="P110" s="65"/>
      <c r="Q110" s="61">
        <v>2.0</v>
      </c>
      <c r="R110" s="62">
        <f t="shared" si="50"/>
        <v>2</v>
      </c>
      <c r="AA110" s="2"/>
    </row>
    <row r="111" ht="12.75" customHeight="1">
      <c r="A111" s="17"/>
      <c r="B111" s="18" t="s">
        <v>42</v>
      </c>
      <c r="C111" s="13">
        <f t="shared" si="45"/>
        <v>3</v>
      </c>
      <c r="D111" s="60">
        <v>3.0</v>
      </c>
      <c r="E111" s="64"/>
      <c r="F111" s="62" t="str">
        <f t="shared" si="46"/>
        <v/>
      </c>
      <c r="H111" s="18" t="s">
        <v>42</v>
      </c>
      <c r="I111" s="13" t="str">
        <f t="shared" si="47"/>
        <v/>
      </c>
      <c r="J111" s="65"/>
      <c r="K111" s="61">
        <v>3.0</v>
      </c>
      <c r="L111" s="62">
        <f t="shared" si="48"/>
        <v>3</v>
      </c>
      <c r="N111" s="18" t="s">
        <v>42</v>
      </c>
      <c r="O111" s="13">
        <f t="shared" si="49"/>
        <v>0</v>
      </c>
      <c r="P111" s="60">
        <v>2.0</v>
      </c>
      <c r="Q111" s="61">
        <v>3.0</v>
      </c>
      <c r="R111" s="62">
        <f t="shared" si="50"/>
        <v>0</v>
      </c>
      <c r="AA111" s="2"/>
    </row>
    <row r="112" ht="12.75" customHeight="1">
      <c r="A112" s="17"/>
      <c r="B112" s="18" t="s">
        <v>43</v>
      </c>
      <c r="C112" s="13" t="str">
        <f t="shared" si="45"/>
        <v/>
      </c>
      <c r="D112" s="65"/>
      <c r="E112" s="64"/>
      <c r="F112" s="62" t="str">
        <f t="shared" si="46"/>
        <v/>
      </c>
      <c r="H112" s="18" t="s">
        <v>43</v>
      </c>
      <c r="I112" s="13">
        <f t="shared" si="47"/>
        <v>0</v>
      </c>
      <c r="J112" s="60">
        <v>2.0</v>
      </c>
      <c r="K112" s="61">
        <v>2.0</v>
      </c>
      <c r="L112" s="62">
        <f t="shared" si="48"/>
        <v>0</v>
      </c>
      <c r="N112" s="18" t="s">
        <v>43</v>
      </c>
      <c r="O112" s="13">
        <f t="shared" si="49"/>
        <v>0</v>
      </c>
      <c r="P112" s="60">
        <v>2.0</v>
      </c>
      <c r="Q112" s="61">
        <v>3.0</v>
      </c>
      <c r="R112" s="62">
        <f t="shared" si="50"/>
        <v>0</v>
      </c>
      <c r="AA112" s="2"/>
    </row>
    <row r="113" ht="12.75" customHeight="1">
      <c r="A113" s="17"/>
      <c r="B113" s="18" t="s">
        <v>44</v>
      </c>
      <c r="C113" s="13">
        <f t="shared" si="45"/>
        <v>3</v>
      </c>
      <c r="D113" s="60">
        <v>3.0</v>
      </c>
      <c r="E113" s="64"/>
      <c r="F113" s="62" t="str">
        <f t="shared" si="46"/>
        <v/>
      </c>
      <c r="H113" s="18" t="s">
        <v>44</v>
      </c>
      <c r="I113" s="13" t="str">
        <f t="shared" si="47"/>
        <v/>
      </c>
      <c r="J113" s="65"/>
      <c r="K113" s="61">
        <v>3.0</v>
      </c>
      <c r="L113" s="62">
        <f t="shared" si="48"/>
        <v>3</v>
      </c>
      <c r="N113" s="18" t="s">
        <v>44</v>
      </c>
      <c r="O113" s="13">
        <f t="shared" si="49"/>
        <v>0</v>
      </c>
      <c r="P113" s="60">
        <v>3.0</v>
      </c>
      <c r="Q113" s="61">
        <v>3.0</v>
      </c>
      <c r="R113" s="62">
        <f t="shared" si="50"/>
        <v>0</v>
      </c>
      <c r="AA113" s="2"/>
    </row>
    <row r="114" ht="12.75" customHeight="1">
      <c r="A114" s="17"/>
      <c r="B114" s="18" t="s">
        <v>45</v>
      </c>
      <c r="C114" s="13">
        <f t="shared" si="45"/>
        <v>3</v>
      </c>
      <c r="D114" s="60">
        <v>3.0</v>
      </c>
      <c r="E114" s="64"/>
      <c r="F114" s="62" t="str">
        <f t="shared" si="46"/>
        <v/>
      </c>
      <c r="H114" s="18" t="s">
        <v>45</v>
      </c>
      <c r="I114" s="13">
        <f t="shared" si="47"/>
        <v>0</v>
      </c>
      <c r="J114" s="60">
        <v>2.0</v>
      </c>
      <c r="K114" s="61">
        <v>3.0</v>
      </c>
      <c r="L114" s="62">
        <f t="shared" si="48"/>
        <v>0</v>
      </c>
      <c r="N114" s="18" t="s">
        <v>45</v>
      </c>
      <c r="O114" s="13" t="str">
        <f t="shared" si="49"/>
        <v/>
      </c>
      <c r="P114" s="65"/>
      <c r="Q114" s="61">
        <v>2.0</v>
      </c>
      <c r="R114" s="62">
        <f t="shared" si="50"/>
        <v>2</v>
      </c>
      <c r="AA114" s="2"/>
    </row>
    <row r="115" ht="12.75" customHeight="1">
      <c r="A115" s="17"/>
      <c r="B115" s="18" t="s">
        <v>46</v>
      </c>
      <c r="C115" s="13">
        <f t="shared" si="45"/>
        <v>0</v>
      </c>
      <c r="D115" s="60">
        <v>2.0</v>
      </c>
      <c r="E115" s="61">
        <v>3.0</v>
      </c>
      <c r="F115" s="62">
        <f t="shared" si="46"/>
        <v>0</v>
      </c>
      <c r="H115" s="18" t="s">
        <v>46</v>
      </c>
      <c r="I115" s="13">
        <f t="shared" si="47"/>
        <v>2</v>
      </c>
      <c r="J115" s="60">
        <v>2.0</v>
      </c>
      <c r="K115" s="64"/>
      <c r="L115" s="62" t="str">
        <f t="shared" si="48"/>
        <v/>
      </c>
      <c r="N115" s="18" t="s">
        <v>46</v>
      </c>
      <c r="O115" s="13">
        <f t="shared" si="49"/>
        <v>2</v>
      </c>
      <c r="P115" s="60">
        <v>2.0</v>
      </c>
      <c r="Q115" s="64"/>
      <c r="R115" s="62" t="str">
        <f t="shared" si="50"/>
        <v/>
      </c>
      <c r="AA115" s="2"/>
    </row>
    <row r="116" ht="12.75" customHeight="1">
      <c r="A116" s="17"/>
      <c r="B116" s="18" t="s">
        <v>47</v>
      </c>
      <c r="C116" s="13" t="str">
        <f t="shared" si="45"/>
        <v/>
      </c>
      <c r="D116" s="65"/>
      <c r="E116" s="61">
        <v>3.0</v>
      </c>
      <c r="F116" s="62">
        <f t="shared" si="46"/>
        <v>3</v>
      </c>
      <c r="H116" s="18" t="s">
        <v>47</v>
      </c>
      <c r="I116" s="13">
        <f t="shared" si="47"/>
        <v>2</v>
      </c>
      <c r="J116" s="60">
        <v>2.0</v>
      </c>
      <c r="K116" s="64"/>
      <c r="L116" s="62" t="str">
        <f t="shared" si="48"/>
        <v/>
      </c>
      <c r="N116" s="18" t="s">
        <v>47</v>
      </c>
      <c r="O116" s="13">
        <f t="shared" si="49"/>
        <v>0</v>
      </c>
      <c r="P116" s="60">
        <v>2.0</v>
      </c>
      <c r="Q116" s="61">
        <v>3.0</v>
      </c>
      <c r="R116" s="62">
        <f t="shared" si="50"/>
        <v>0</v>
      </c>
      <c r="AA116" s="2"/>
    </row>
    <row r="117" ht="12.75" customHeight="1">
      <c r="A117" s="17"/>
      <c r="B117" s="18" t="s">
        <v>48</v>
      </c>
      <c r="C117" s="13" t="str">
        <f t="shared" si="45"/>
        <v/>
      </c>
      <c r="D117" s="65"/>
      <c r="E117" s="64"/>
      <c r="F117" s="62" t="str">
        <f t="shared" si="46"/>
        <v/>
      </c>
      <c r="H117" s="18" t="s">
        <v>48</v>
      </c>
      <c r="I117" s="13" t="str">
        <f t="shared" si="47"/>
        <v/>
      </c>
      <c r="J117" s="65"/>
      <c r="K117" s="64"/>
      <c r="L117" s="62" t="str">
        <f t="shared" si="48"/>
        <v/>
      </c>
      <c r="N117" s="18" t="s">
        <v>48</v>
      </c>
      <c r="O117" s="13" t="str">
        <f t="shared" si="49"/>
        <v/>
      </c>
      <c r="P117" s="65"/>
      <c r="Q117" s="64"/>
      <c r="R117" s="62" t="str">
        <f t="shared" si="50"/>
        <v/>
      </c>
      <c r="AA117" s="2"/>
    </row>
    <row r="118" ht="12.75" customHeight="1">
      <c r="A118" s="17"/>
      <c r="B118" s="18" t="s">
        <v>49</v>
      </c>
      <c r="C118" s="13" t="str">
        <f t="shared" si="45"/>
        <v/>
      </c>
      <c r="D118" s="65"/>
      <c r="E118" s="64"/>
      <c r="F118" s="62" t="str">
        <f t="shared" si="46"/>
        <v/>
      </c>
      <c r="H118" s="18" t="s">
        <v>49</v>
      </c>
      <c r="I118" s="13" t="str">
        <f t="shared" si="47"/>
        <v/>
      </c>
      <c r="J118" s="65"/>
      <c r="K118" s="64"/>
      <c r="L118" s="62" t="str">
        <f t="shared" si="48"/>
        <v/>
      </c>
      <c r="N118" s="18" t="s">
        <v>49</v>
      </c>
      <c r="O118" s="13" t="str">
        <f t="shared" si="49"/>
        <v/>
      </c>
      <c r="P118" s="65"/>
      <c r="Q118" s="64"/>
      <c r="R118" s="62" t="str">
        <f t="shared" si="50"/>
        <v/>
      </c>
      <c r="AA118" s="2"/>
    </row>
    <row r="119" ht="12.75" customHeight="1">
      <c r="A119" s="17"/>
      <c r="B119" s="18" t="s">
        <v>50</v>
      </c>
      <c r="C119" s="13" t="str">
        <f t="shared" si="45"/>
        <v/>
      </c>
      <c r="D119" s="65"/>
      <c r="E119" s="64"/>
      <c r="F119" s="62" t="str">
        <f t="shared" si="46"/>
        <v/>
      </c>
      <c r="H119" s="18" t="s">
        <v>50</v>
      </c>
      <c r="I119" s="13" t="str">
        <f t="shared" si="47"/>
        <v/>
      </c>
      <c r="J119" s="66"/>
      <c r="K119" s="69"/>
      <c r="L119" s="62" t="str">
        <f t="shared" si="48"/>
        <v/>
      </c>
      <c r="N119" s="18" t="s">
        <v>50</v>
      </c>
      <c r="O119" s="13" t="str">
        <f t="shared" si="49"/>
        <v/>
      </c>
      <c r="P119" s="65"/>
      <c r="Q119" s="64"/>
      <c r="R119" s="62" t="str">
        <f t="shared" si="50"/>
        <v/>
      </c>
      <c r="AA119" s="2"/>
    </row>
    <row r="120" ht="12.75" customHeight="1">
      <c r="A120" s="17"/>
      <c r="B120" s="18" t="s">
        <v>51</v>
      </c>
      <c r="C120" s="13" t="str">
        <f t="shared" si="45"/>
        <v/>
      </c>
      <c r="D120" s="66"/>
      <c r="E120" s="69"/>
      <c r="F120" s="62" t="str">
        <f t="shared" si="46"/>
        <v/>
      </c>
      <c r="H120" s="18" t="s">
        <v>51</v>
      </c>
      <c r="I120" s="13" t="str">
        <f t="shared" si="47"/>
        <v/>
      </c>
      <c r="J120" s="66"/>
      <c r="K120" s="69"/>
      <c r="L120" s="62" t="str">
        <f t="shared" si="48"/>
        <v/>
      </c>
      <c r="N120" s="18" t="s">
        <v>51</v>
      </c>
      <c r="O120" s="13" t="str">
        <f t="shared" si="49"/>
        <v/>
      </c>
      <c r="P120" s="66"/>
      <c r="Q120" s="69"/>
      <c r="R120" s="62" t="str">
        <f t="shared" si="50"/>
        <v/>
      </c>
      <c r="AA120" s="2"/>
    </row>
    <row r="121" ht="12.75" customHeight="1">
      <c r="A121" s="17"/>
      <c r="B121" s="18" t="s">
        <v>52</v>
      </c>
      <c r="C121" s="33">
        <f>SUM(C106:C120)</f>
        <v>11</v>
      </c>
      <c r="D121" s="33">
        <f>COUNTIFS(D106:D120, "&lt;&gt;0", D106:D120, "&lt;&gt;", E106:E120, "&lt;&gt;0", E106:E120, "&lt;&gt;")</f>
        <v>1</v>
      </c>
      <c r="E121" s="33">
        <f>COUNTIFS(D106:D120, "&lt;&gt;0", D106:D120, "&lt;&gt;", E106:E120, "&lt;&gt;0", E106:E120, "&lt;&gt;")</f>
        <v>1</v>
      </c>
      <c r="F121" s="33">
        <f>SUM(F106:F120)</f>
        <v>8</v>
      </c>
      <c r="H121" s="18" t="s">
        <v>52</v>
      </c>
      <c r="I121" s="33">
        <f>SUM(I106:I120)</f>
        <v>6</v>
      </c>
      <c r="J121" s="33">
        <f>COUNTIFS(J106:J120, "&lt;&gt;0", J106:J120, "&lt;&gt;", K106:K120, "&lt;&gt;0", K106:K120, "&lt;&gt;")</f>
        <v>5</v>
      </c>
      <c r="K121" s="33">
        <f>COUNTIFS(J106:J120, "&lt;&gt;0", J106:J120, "&lt;&gt;", K106:K120, "&lt;&gt;0", K106:K120, "&lt;&gt;")</f>
        <v>5</v>
      </c>
      <c r="L121" s="33">
        <f>SUM(L106:L120)</f>
        <v>6</v>
      </c>
      <c r="N121" s="18" t="s">
        <v>52</v>
      </c>
      <c r="O121" s="33">
        <f>SUM(O106:O120)</f>
        <v>2</v>
      </c>
      <c r="P121" s="33">
        <f>COUNTIFS(P106:P120, "&lt;&gt;0", P106:P120, "&lt;&gt;", Q106:Q120, "&lt;&gt;0", Q106:Q120, "&lt;&gt;")</f>
        <v>5</v>
      </c>
      <c r="Q121" s="33">
        <f>COUNTIFS(P106:P120, "&lt;&gt;0", P106:P120, "&lt;&gt;", Q106:Q120, "&lt;&gt;0", Q106:Q120, "&lt;&gt;")</f>
        <v>5</v>
      </c>
      <c r="R121" s="33">
        <f>SUM(R106:R120)</f>
        <v>12</v>
      </c>
      <c r="AA121" s="2"/>
    </row>
    <row r="122" ht="12.75" customHeight="1">
      <c r="A122" s="17"/>
      <c r="B122" s="17" t="s">
        <v>53</v>
      </c>
      <c r="C122" s="70">
        <f>D122</f>
        <v>1</v>
      </c>
      <c r="D122" s="71">
        <f>IF(C121&gt;F121, 1, (IF(C121=F121, 0, -1)))</f>
        <v>1</v>
      </c>
      <c r="E122" s="33">
        <f>IF(F121&gt;C121, 1, (IF(F121=C121, 0, -1)))</f>
        <v>-1</v>
      </c>
      <c r="F122" s="70">
        <f>E122</f>
        <v>-1</v>
      </c>
      <c r="H122" s="17" t="s">
        <v>53</v>
      </c>
      <c r="I122" s="70">
        <f>J122</f>
        <v>0</v>
      </c>
      <c r="J122" s="71">
        <f>IF(I121&gt;L121, 1, (IF(I121=L121, 0, -1)))</f>
        <v>0</v>
      </c>
      <c r="K122" s="33">
        <f>IF(L121&gt;I121, 1, (IF(L121=I121, 0, -1)))</f>
        <v>0</v>
      </c>
      <c r="L122" s="70">
        <f>K122</f>
        <v>0</v>
      </c>
      <c r="N122" s="17" t="s">
        <v>53</v>
      </c>
      <c r="O122" s="70">
        <f>P122</f>
        <v>-1</v>
      </c>
      <c r="P122" s="71">
        <f>IF(O121&gt;R121, 1, (IF(O121=R121, 0, -1)))</f>
        <v>-1</v>
      </c>
      <c r="Q122" s="33">
        <f>IF(R121&gt;O121, 1, (IF(R121=O121, 0, -1)))</f>
        <v>1</v>
      </c>
      <c r="R122" s="70">
        <f>Q122</f>
        <v>1</v>
      </c>
      <c r="AA122" s="2"/>
    </row>
    <row r="123" ht="12.75" customHeight="1">
      <c r="A123" s="72"/>
      <c r="B123" s="72"/>
      <c r="AA123" s="2"/>
    </row>
    <row r="124" ht="12.75" customHeight="1">
      <c r="A124" s="72"/>
      <c r="B124" s="72"/>
      <c r="AA124" s="2"/>
    </row>
    <row r="125" ht="12.75" customHeight="1">
      <c r="AA125" s="2"/>
    </row>
    <row r="126" ht="12.75" customHeight="1">
      <c r="AA126" s="2"/>
    </row>
    <row r="127" ht="12.75" customHeight="1">
      <c r="AA127" s="2"/>
    </row>
    <row r="128" ht="12.75" customHeight="1">
      <c r="AA128" s="2"/>
    </row>
    <row r="129" ht="12.75" customHeight="1">
      <c r="AA129" s="2"/>
    </row>
    <row r="130" ht="12.75" customHeight="1">
      <c r="AA130" s="2"/>
    </row>
    <row r="131" ht="12.75" customHeight="1">
      <c r="AA131" s="2"/>
    </row>
    <row r="132" ht="12.75" customHeight="1">
      <c r="AA132" s="2"/>
    </row>
    <row r="133" ht="12.75" customHeight="1">
      <c r="AA133" s="2"/>
    </row>
    <row r="134" ht="12.75" customHeight="1">
      <c r="AA134" s="2"/>
    </row>
    <row r="135" ht="12.75" customHeight="1">
      <c r="AA135" s="2"/>
    </row>
    <row r="136" ht="12.75" customHeight="1">
      <c r="AA136" s="2"/>
    </row>
    <row r="137" ht="12.75" customHeight="1">
      <c r="AA137" s="2"/>
    </row>
    <row r="138" ht="12.75" customHeight="1">
      <c r="AA138" s="2"/>
    </row>
    <row r="139" ht="12.75" customHeight="1">
      <c r="AA139" s="2"/>
    </row>
    <row r="140" ht="12.75" customHeight="1">
      <c r="AA140" s="2"/>
    </row>
    <row r="141" ht="12.75" customHeight="1">
      <c r="AA141" s="2"/>
    </row>
    <row r="142" ht="12.75" customHeight="1">
      <c r="AA142" s="2"/>
    </row>
    <row r="143" ht="12.75" customHeight="1">
      <c r="AA143" s="2"/>
    </row>
    <row r="144" ht="12.75" customHeight="1">
      <c r="AA144" s="2"/>
    </row>
    <row r="145" ht="12.75" customHeight="1">
      <c r="AA145" s="2"/>
    </row>
    <row r="146" ht="12.75" customHeight="1">
      <c r="AA146" s="2"/>
    </row>
    <row r="147" ht="12.75" customHeight="1">
      <c r="AA147" s="2"/>
    </row>
    <row r="148" ht="12.75" customHeight="1">
      <c r="AA148" s="2"/>
    </row>
    <row r="149" ht="12.75" customHeight="1">
      <c r="AA149" s="2"/>
    </row>
    <row r="150" ht="12.75" customHeight="1">
      <c r="AA150" s="2"/>
    </row>
    <row r="151" ht="12.75" customHeight="1">
      <c r="AA151" s="2"/>
    </row>
    <row r="152" ht="12.75" customHeight="1">
      <c r="AA152" s="2"/>
    </row>
    <row r="153" ht="12.75" customHeight="1">
      <c r="AA153" s="2"/>
    </row>
    <row r="154" ht="12.75" customHeight="1">
      <c r="AA154" s="2"/>
    </row>
    <row r="155" ht="12.75" customHeight="1">
      <c r="AA155" s="2"/>
    </row>
    <row r="156" ht="12.75" customHeight="1">
      <c r="AA156" s="2"/>
    </row>
    <row r="157" ht="12.75" customHeight="1">
      <c r="AA157" s="2"/>
    </row>
    <row r="158" ht="12.75" customHeight="1">
      <c r="AA158" s="2"/>
    </row>
    <row r="159" ht="12.75" customHeight="1">
      <c r="AA159" s="2"/>
    </row>
    <row r="160" ht="12.75" customHeight="1">
      <c r="AA160" s="2"/>
    </row>
    <row r="161" ht="12.75" customHeight="1">
      <c r="AA161" s="2"/>
    </row>
    <row r="162" ht="12.75" customHeight="1">
      <c r="AA162" s="2"/>
    </row>
    <row r="163" ht="12.75" customHeight="1">
      <c r="A163" s="1"/>
      <c r="B163" s="1"/>
      <c r="AA163" s="2"/>
    </row>
    <row r="164" ht="12.75" customHeight="1">
      <c r="A164" s="1"/>
      <c r="B164" s="1"/>
      <c r="AA164" s="2"/>
    </row>
    <row r="165" ht="12.75" customHeight="1">
      <c r="A165" s="1"/>
      <c r="B165" s="1"/>
      <c r="AA165" s="2"/>
    </row>
    <row r="166" ht="12.75" customHeight="1">
      <c r="A166" s="1"/>
      <c r="B166" s="1"/>
      <c r="AA166" s="2"/>
    </row>
    <row r="167" ht="12.75" customHeight="1">
      <c r="A167" s="1"/>
      <c r="B167" s="1"/>
      <c r="AA167" s="2"/>
    </row>
    <row r="168" ht="12.75" customHeight="1">
      <c r="A168" s="1"/>
      <c r="B168" s="1"/>
      <c r="AA168" s="2"/>
    </row>
    <row r="169" ht="12.75" customHeight="1">
      <c r="A169" s="1"/>
      <c r="B169" s="1"/>
      <c r="AA169" s="2"/>
    </row>
    <row r="170" ht="12.75" customHeight="1">
      <c r="A170" s="1"/>
      <c r="B170" s="1"/>
      <c r="AA170" s="2"/>
    </row>
    <row r="171" ht="12.75" customHeight="1">
      <c r="A171" s="1"/>
      <c r="B171" s="1"/>
      <c r="AA171" s="2"/>
    </row>
    <row r="172" ht="12.75" customHeight="1">
      <c r="A172" s="1"/>
      <c r="B172" s="1"/>
      <c r="AA172" s="2"/>
    </row>
    <row r="173" ht="12.75" customHeight="1">
      <c r="A173" s="1"/>
      <c r="B173" s="1"/>
      <c r="AA173" s="2"/>
    </row>
    <row r="174" ht="12.75" customHeight="1">
      <c r="A174" s="1"/>
      <c r="B174" s="1"/>
      <c r="AA174" s="2"/>
    </row>
    <row r="175" ht="12.75" customHeight="1">
      <c r="A175" s="1"/>
      <c r="B175" s="1"/>
      <c r="AA175" s="2"/>
    </row>
    <row r="176" ht="12.75" customHeight="1">
      <c r="A176" s="1"/>
      <c r="B176" s="1"/>
      <c r="AA176" s="2"/>
    </row>
    <row r="177" ht="12.75" customHeight="1">
      <c r="A177" s="1"/>
      <c r="B177" s="1"/>
      <c r="AA177" s="2"/>
    </row>
    <row r="178" ht="12.75" customHeight="1">
      <c r="A178" s="1"/>
      <c r="B178" s="1"/>
      <c r="AA178" s="2"/>
    </row>
    <row r="179" ht="12.75" customHeight="1">
      <c r="A179" s="1"/>
      <c r="B179" s="1"/>
      <c r="AA179" s="2"/>
    </row>
    <row r="180" ht="12.75" customHeight="1">
      <c r="A180" s="1"/>
      <c r="B180" s="1"/>
      <c r="AA180" s="2"/>
    </row>
    <row r="181" ht="12.75" customHeight="1">
      <c r="A181" s="1"/>
      <c r="B181" s="1"/>
      <c r="AA181" s="2"/>
    </row>
    <row r="182" ht="12.75" customHeight="1">
      <c r="A182" s="1"/>
      <c r="B182" s="1"/>
      <c r="AA182" s="2"/>
    </row>
    <row r="183" ht="12.75" customHeight="1">
      <c r="A183" s="1"/>
      <c r="B183" s="1"/>
      <c r="L183" s="72"/>
      <c r="S183" s="72"/>
      <c r="T183" s="72"/>
      <c r="U183" s="81"/>
      <c r="V183" s="81"/>
      <c r="AA183" s="2"/>
    </row>
    <row r="184" ht="12.75" customHeight="1">
      <c r="A184" s="1"/>
      <c r="B184" s="1"/>
      <c r="L184" s="72"/>
      <c r="S184" s="72"/>
      <c r="T184" s="72"/>
      <c r="U184" s="81"/>
      <c r="V184" s="81"/>
      <c r="AA184" s="2"/>
    </row>
    <row r="185" ht="12.75" customHeight="1">
      <c r="A185" s="1"/>
      <c r="B185" s="1"/>
      <c r="L185" s="72"/>
      <c r="S185" s="72"/>
      <c r="T185" s="72"/>
      <c r="U185" s="81"/>
      <c r="V185" s="81"/>
      <c r="AA185" s="2"/>
    </row>
    <row r="186" ht="12.75" customHeight="1">
      <c r="A186" s="1"/>
      <c r="B186" s="1"/>
      <c r="L186" s="72"/>
      <c r="S186" s="72"/>
      <c r="T186" s="72"/>
      <c r="U186" s="81"/>
      <c r="V186" s="81"/>
      <c r="AA186" s="2"/>
    </row>
    <row r="187" ht="12.75" customHeight="1">
      <c r="A187" s="1"/>
      <c r="B187" s="1"/>
      <c r="L187" s="72"/>
      <c r="S187" s="72"/>
      <c r="T187" s="72"/>
      <c r="U187" s="81"/>
      <c r="V187" s="81"/>
      <c r="AA187" s="2"/>
    </row>
    <row r="188" ht="12.75" customHeight="1">
      <c r="A188" s="1"/>
      <c r="B188" s="1"/>
      <c r="L188" s="72"/>
      <c r="S188" s="72"/>
      <c r="T188" s="72"/>
      <c r="U188" s="81"/>
      <c r="V188" s="81"/>
      <c r="AA188" s="2"/>
    </row>
    <row r="189" ht="12.75" customHeight="1">
      <c r="A189" s="1"/>
      <c r="B189" s="1"/>
      <c r="L189" s="72"/>
      <c r="S189" s="72"/>
      <c r="T189" s="72"/>
      <c r="U189" s="81"/>
      <c r="V189" s="81"/>
      <c r="AA189" s="2"/>
    </row>
    <row r="190" ht="12.75" customHeight="1">
      <c r="A190" s="1"/>
      <c r="B190" s="1"/>
      <c r="L190" s="72"/>
      <c r="S190" s="72"/>
      <c r="T190" s="72"/>
      <c r="U190" s="81"/>
      <c r="V190" s="81"/>
      <c r="AA190" s="2"/>
    </row>
    <row r="191" ht="12.75" customHeight="1">
      <c r="A191" s="1"/>
      <c r="B191" s="1"/>
      <c r="L191" s="72"/>
      <c r="S191" s="72"/>
      <c r="T191" s="72"/>
      <c r="U191" s="81"/>
      <c r="V191" s="81"/>
      <c r="AA191" s="2"/>
    </row>
    <row r="192" ht="12.75" customHeight="1">
      <c r="A192" s="1"/>
      <c r="B192" s="1"/>
      <c r="L192" s="72"/>
      <c r="S192" s="72"/>
      <c r="T192" s="72"/>
      <c r="U192" s="81"/>
      <c r="V192" s="81"/>
      <c r="AA192" s="2"/>
    </row>
    <row r="193" ht="12.75" customHeight="1">
      <c r="A193" s="1"/>
      <c r="B193" s="1"/>
      <c r="L193" s="72"/>
      <c r="S193" s="72"/>
      <c r="T193" s="72"/>
      <c r="U193" s="81"/>
      <c r="V193" s="81"/>
      <c r="AA193" s="2"/>
    </row>
    <row r="194" ht="12.75" customHeight="1">
      <c r="A194" s="1"/>
      <c r="B194" s="1"/>
      <c r="L194" s="72"/>
      <c r="S194" s="72"/>
      <c r="T194" s="72"/>
      <c r="U194" s="81"/>
      <c r="V194" s="81"/>
      <c r="AA194" s="2"/>
    </row>
    <row r="195" ht="12.75" customHeight="1">
      <c r="A195" s="1"/>
      <c r="B195" s="1"/>
      <c r="L195" s="72"/>
      <c r="S195" s="72"/>
      <c r="T195" s="72"/>
      <c r="U195" s="81"/>
      <c r="V195" s="81"/>
      <c r="AA195" s="2"/>
    </row>
    <row r="196" ht="12.75" customHeight="1">
      <c r="A196" s="1"/>
      <c r="B196" s="1"/>
      <c r="L196" s="72"/>
      <c r="S196" s="72"/>
      <c r="T196" s="72"/>
      <c r="U196" s="81"/>
      <c r="V196" s="81"/>
      <c r="AA196" s="2"/>
    </row>
    <row r="197" ht="12.75" customHeight="1">
      <c r="A197" s="1"/>
      <c r="B197" s="1"/>
      <c r="L197" s="72"/>
      <c r="S197" s="72"/>
      <c r="T197" s="72"/>
      <c r="U197" s="81"/>
      <c r="V197" s="81"/>
      <c r="AA197" s="2"/>
    </row>
    <row r="198" ht="12.75" customHeight="1">
      <c r="A198" s="1"/>
      <c r="B198" s="1"/>
      <c r="L198" s="72"/>
      <c r="S198" s="72"/>
      <c r="T198" s="72"/>
      <c r="U198" s="81"/>
      <c r="V198" s="81"/>
      <c r="AA198" s="2"/>
    </row>
    <row r="199" ht="12.75" customHeight="1">
      <c r="A199" s="1"/>
      <c r="B199" s="1"/>
      <c r="L199" s="72"/>
      <c r="S199" s="72"/>
      <c r="T199" s="72"/>
      <c r="U199" s="81"/>
      <c r="V199" s="81"/>
      <c r="AA199" s="2"/>
    </row>
    <row r="200" ht="12.75" customHeight="1">
      <c r="A200" s="1"/>
      <c r="B200" s="1"/>
      <c r="L200" s="72"/>
      <c r="S200" s="72"/>
      <c r="T200" s="72"/>
      <c r="U200" s="81"/>
      <c r="V200" s="81"/>
      <c r="AA200" s="2"/>
    </row>
    <row r="201" ht="12.75" customHeight="1">
      <c r="A201" s="1"/>
      <c r="B201" s="1"/>
      <c r="L201" s="72"/>
      <c r="S201" s="72"/>
      <c r="T201" s="72"/>
      <c r="U201" s="81"/>
      <c r="V201" s="81"/>
      <c r="AA201" s="2"/>
    </row>
    <row r="202" ht="12.75" customHeight="1">
      <c r="A202" s="1"/>
      <c r="B202" s="1"/>
      <c r="L202" s="72"/>
      <c r="S202" s="72"/>
      <c r="T202" s="72"/>
      <c r="U202" s="81"/>
      <c r="V202" s="81"/>
      <c r="AA202" s="2"/>
    </row>
    <row r="203" ht="12.75" customHeight="1">
      <c r="A203" s="1"/>
      <c r="B203" s="1"/>
      <c r="L203" s="72"/>
      <c r="S203" s="72"/>
      <c r="T203" s="72"/>
      <c r="U203" s="81"/>
      <c r="V203" s="81"/>
      <c r="AA203" s="2"/>
    </row>
    <row r="204" ht="12.75" customHeight="1">
      <c r="A204" s="1"/>
      <c r="B204" s="1"/>
      <c r="L204" s="72"/>
      <c r="S204" s="72"/>
      <c r="T204" s="72"/>
      <c r="U204" s="81"/>
      <c r="V204" s="81"/>
      <c r="AA204" s="2"/>
    </row>
    <row r="205" ht="12.75" customHeight="1">
      <c r="A205" s="1"/>
      <c r="B205" s="1"/>
      <c r="L205" s="72"/>
      <c r="S205" s="72"/>
      <c r="T205" s="72"/>
      <c r="U205" s="81"/>
      <c r="V205" s="81"/>
      <c r="AA205" s="2"/>
    </row>
    <row r="206" ht="12.75" customHeight="1">
      <c r="A206" s="1"/>
      <c r="B206" s="1"/>
      <c r="L206" s="72"/>
      <c r="S206" s="72"/>
      <c r="T206" s="72"/>
      <c r="U206" s="81"/>
      <c r="V206" s="81"/>
      <c r="AA206" s="2"/>
    </row>
    <row r="207" ht="12.75" customHeight="1">
      <c r="A207" s="1"/>
      <c r="B207" s="1"/>
      <c r="L207" s="72"/>
      <c r="S207" s="72"/>
      <c r="T207" s="72"/>
      <c r="U207" s="81"/>
      <c r="V207" s="81"/>
      <c r="AA207" s="2"/>
    </row>
    <row r="208" ht="12.75" customHeight="1">
      <c r="A208" s="1"/>
      <c r="B208" s="1"/>
      <c r="L208" s="72"/>
      <c r="S208" s="72"/>
      <c r="T208" s="72"/>
      <c r="U208" s="81"/>
      <c r="V208" s="81"/>
      <c r="AA208" s="2"/>
    </row>
    <row r="209" ht="12.75" customHeight="1">
      <c r="A209" s="1"/>
      <c r="B209" s="1"/>
      <c r="L209" s="72"/>
      <c r="S209" s="72"/>
      <c r="T209" s="72"/>
      <c r="U209" s="81"/>
      <c r="V209" s="81"/>
      <c r="AA209" s="2"/>
    </row>
    <row r="210" ht="12.75" customHeight="1">
      <c r="A210" s="1"/>
      <c r="B210" s="1"/>
      <c r="L210" s="72"/>
      <c r="S210" s="72"/>
      <c r="T210" s="72"/>
      <c r="U210" s="81"/>
      <c r="V210" s="81"/>
      <c r="AA210" s="2"/>
    </row>
    <row r="211" ht="12.75" customHeight="1">
      <c r="A211" s="1"/>
      <c r="B211" s="1"/>
      <c r="L211" s="72"/>
      <c r="S211" s="72"/>
      <c r="T211" s="72"/>
      <c r="U211" s="81"/>
      <c r="V211" s="81"/>
      <c r="AA211" s="2"/>
    </row>
    <row r="212" ht="12.75" customHeight="1">
      <c r="A212" s="1"/>
      <c r="B212" s="1"/>
      <c r="L212" s="72"/>
      <c r="S212" s="72"/>
      <c r="T212" s="72"/>
      <c r="U212" s="81"/>
      <c r="V212" s="81"/>
      <c r="AA212" s="2"/>
    </row>
    <row r="213" ht="12.75" customHeight="1">
      <c r="A213" s="1"/>
      <c r="B213" s="1"/>
      <c r="L213" s="72"/>
      <c r="S213" s="72"/>
      <c r="T213" s="72"/>
      <c r="U213" s="81"/>
      <c r="V213" s="81"/>
      <c r="AA213" s="2"/>
    </row>
    <row r="214" ht="12.75" customHeight="1">
      <c r="A214" s="1"/>
      <c r="B214" s="1"/>
      <c r="L214" s="72"/>
      <c r="S214" s="72"/>
      <c r="T214" s="72"/>
      <c r="U214" s="81"/>
      <c r="V214" s="81"/>
      <c r="AA214" s="2"/>
    </row>
    <row r="215" ht="12.75" customHeight="1">
      <c r="A215" s="1"/>
      <c r="B215" s="1"/>
      <c r="L215" s="72"/>
      <c r="S215" s="72"/>
      <c r="T215" s="72"/>
      <c r="U215" s="81"/>
      <c r="V215" s="81"/>
      <c r="AA215" s="2"/>
    </row>
    <row r="216" ht="12.75" customHeight="1">
      <c r="A216" s="1"/>
      <c r="B216" s="1"/>
      <c r="L216" s="72"/>
      <c r="S216" s="72"/>
      <c r="T216" s="72"/>
      <c r="U216" s="81"/>
      <c r="V216" s="81"/>
      <c r="AA216" s="2"/>
    </row>
    <row r="217" ht="12.75" customHeight="1">
      <c r="A217" s="1"/>
      <c r="B217" s="1"/>
      <c r="L217" s="72"/>
      <c r="S217" s="72"/>
      <c r="T217" s="72"/>
      <c r="U217" s="81"/>
      <c r="V217" s="81"/>
      <c r="AA217" s="2"/>
    </row>
    <row r="218" ht="12.75" customHeight="1">
      <c r="A218" s="1"/>
      <c r="B218" s="1"/>
      <c r="L218" s="72"/>
      <c r="S218" s="72"/>
      <c r="T218" s="72"/>
      <c r="U218" s="81"/>
      <c r="V218" s="81"/>
      <c r="AA218" s="2"/>
    </row>
    <row r="219" ht="12.75" customHeight="1">
      <c r="A219" s="1"/>
      <c r="B219" s="1"/>
      <c r="L219" s="72"/>
      <c r="S219" s="72"/>
      <c r="T219" s="72"/>
      <c r="U219" s="81"/>
      <c r="V219" s="81"/>
      <c r="AA219" s="2"/>
    </row>
    <row r="220" ht="12.75" customHeight="1">
      <c r="A220" s="1"/>
      <c r="B220" s="1"/>
      <c r="L220" s="72"/>
      <c r="S220" s="72"/>
      <c r="T220" s="72"/>
      <c r="U220" s="81"/>
      <c r="V220" s="81"/>
      <c r="AA220" s="2"/>
    </row>
    <row r="221" ht="12.75" customHeight="1">
      <c r="A221" s="1"/>
      <c r="B221" s="1"/>
      <c r="L221" s="72"/>
      <c r="S221" s="72"/>
      <c r="T221" s="72"/>
      <c r="U221" s="81"/>
      <c r="V221" s="81"/>
      <c r="AA221" s="2"/>
    </row>
    <row r="222" ht="12.75" customHeight="1">
      <c r="A222" s="1"/>
      <c r="B222" s="1"/>
      <c r="L222" s="72"/>
      <c r="S222" s="72"/>
      <c r="T222" s="72"/>
      <c r="U222" s="81"/>
      <c r="V222" s="81"/>
      <c r="AA222" s="2"/>
    </row>
    <row r="223" ht="12.75" customHeight="1">
      <c r="A223" s="1"/>
      <c r="B223" s="1"/>
      <c r="L223" s="72"/>
      <c r="S223" s="72"/>
      <c r="T223" s="72"/>
      <c r="U223" s="81"/>
      <c r="V223" s="81"/>
      <c r="AA223" s="2"/>
    </row>
    <row r="224" ht="12.75" customHeight="1">
      <c r="A224" s="1"/>
      <c r="B224" s="1"/>
      <c r="L224" s="72"/>
      <c r="S224" s="72"/>
      <c r="T224" s="72"/>
      <c r="U224" s="81"/>
      <c r="V224" s="81"/>
      <c r="AA224" s="2"/>
    </row>
    <row r="225" ht="12.75" customHeight="1">
      <c r="A225" s="1"/>
      <c r="B225" s="1"/>
      <c r="L225" s="72"/>
      <c r="S225" s="72"/>
      <c r="T225" s="72"/>
      <c r="U225" s="81"/>
      <c r="V225" s="81"/>
      <c r="AA225" s="2"/>
    </row>
    <row r="226" ht="12.75" customHeight="1">
      <c r="A226" s="1"/>
      <c r="B226" s="1"/>
      <c r="L226" s="72"/>
      <c r="S226" s="72"/>
      <c r="T226" s="72"/>
      <c r="U226" s="81"/>
      <c r="V226" s="81"/>
      <c r="AA226" s="2"/>
    </row>
    <row r="227" ht="12.75" customHeight="1">
      <c r="A227" s="1"/>
      <c r="B227" s="1"/>
      <c r="L227" s="72"/>
      <c r="S227" s="72"/>
      <c r="T227" s="72"/>
      <c r="U227" s="81"/>
      <c r="V227" s="81"/>
      <c r="AA227" s="2"/>
    </row>
    <row r="228" ht="12.75" customHeight="1">
      <c r="A228" s="1"/>
      <c r="B228" s="1"/>
      <c r="L228" s="72"/>
      <c r="S228" s="72"/>
      <c r="T228" s="72"/>
      <c r="U228" s="81"/>
      <c r="V228" s="81"/>
      <c r="AA228" s="2"/>
    </row>
    <row r="229" ht="12.75" customHeight="1">
      <c r="A229" s="1"/>
      <c r="B229" s="1"/>
      <c r="L229" s="72"/>
      <c r="S229" s="72"/>
      <c r="T229" s="72"/>
      <c r="U229" s="81"/>
      <c r="V229" s="81"/>
      <c r="AA229" s="2"/>
    </row>
    <row r="230" ht="12.75" customHeight="1">
      <c r="A230" s="1"/>
      <c r="B230" s="1"/>
      <c r="L230" s="72"/>
      <c r="S230" s="72"/>
      <c r="T230" s="72"/>
      <c r="U230" s="81"/>
      <c r="V230" s="81"/>
      <c r="AA230" s="2"/>
    </row>
    <row r="231" ht="12.75" customHeight="1">
      <c r="A231" s="1"/>
      <c r="B231" s="1"/>
      <c r="L231" s="72"/>
      <c r="S231" s="72"/>
      <c r="T231" s="72"/>
      <c r="U231" s="81"/>
      <c r="V231" s="81"/>
      <c r="AA231" s="2"/>
    </row>
    <row r="232" ht="12.75" customHeight="1">
      <c r="A232" s="1"/>
      <c r="B232" s="1"/>
      <c r="L232" s="72"/>
      <c r="S232" s="72"/>
      <c r="T232" s="72"/>
      <c r="U232" s="81"/>
      <c r="V232" s="81"/>
      <c r="AA232" s="2"/>
    </row>
    <row r="233" ht="12.75" customHeight="1">
      <c r="A233" s="1"/>
      <c r="B233" s="1"/>
      <c r="L233" s="72"/>
      <c r="S233" s="72"/>
      <c r="T233" s="72"/>
      <c r="U233" s="81"/>
      <c r="V233" s="81"/>
      <c r="AA233" s="2"/>
    </row>
    <row r="234" ht="12.75" customHeight="1">
      <c r="A234" s="1"/>
      <c r="B234" s="1"/>
      <c r="L234" s="72"/>
      <c r="S234" s="72"/>
      <c r="T234" s="72"/>
      <c r="U234" s="81"/>
      <c r="V234" s="81"/>
      <c r="AA234" s="2"/>
    </row>
    <row r="235" ht="12.75" customHeight="1">
      <c r="A235" s="1"/>
      <c r="B235" s="1"/>
      <c r="L235" s="72"/>
      <c r="S235" s="72"/>
      <c r="T235" s="72"/>
      <c r="U235" s="81"/>
      <c r="V235" s="81"/>
      <c r="AA235" s="2"/>
    </row>
    <row r="236" ht="12.75" customHeight="1">
      <c r="A236" s="1"/>
      <c r="B236" s="1"/>
      <c r="L236" s="72"/>
      <c r="S236" s="72"/>
      <c r="T236" s="72"/>
      <c r="U236" s="81"/>
      <c r="V236" s="81"/>
      <c r="AA236" s="2"/>
    </row>
    <row r="237" ht="12.75" customHeight="1">
      <c r="A237" s="1"/>
      <c r="B237" s="1"/>
      <c r="L237" s="72"/>
      <c r="S237" s="72"/>
      <c r="T237" s="72"/>
      <c r="U237" s="81"/>
      <c r="V237" s="81"/>
      <c r="AA237" s="2"/>
    </row>
    <row r="238" ht="12.75" customHeight="1">
      <c r="A238" s="1"/>
      <c r="B238" s="1"/>
      <c r="L238" s="72"/>
      <c r="S238" s="72"/>
      <c r="T238" s="72"/>
      <c r="U238" s="81"/>
      <c r="V238" s="81"/>
      <c r="AA238" s="2"/>
    </row>
    <row r="239" ht="12.75" customHeight="1">
      <c r="A239" s="1"/>
      <c r="B239" s="1"/>
      <c r="L239" s="72"/>
      <c r="S239" s="72"/>
      <c r="T239" s="72"/>
      <c r="U239" s="81"/>
      <c r="V239" s="81"/>
      <c r="AA239" s="2"/>
    </row>
    <row r="240" ht="12.75" customHeight="1">
      <c r="A240" s="1"/>
      <c r="B240" s="1"/>
      <c r="L240" s="72"/>
      <c r="S240" s="72"/>
      <c r="T240" s="72"/>
      <c r="U240" s="81"/>
      <c r="V240" s="81"/>
      <c r="AA240" s="2"/>
    </row>
    <row r="241" ht="12.75" customHeight="1">
      <c r="A241" s="1"/>
      <c r="B241" s="1"/>
      <c r="L241" s="72"/>
      <c r="S241" s="72"/>
      <c r="T241" s="72"/>
      <c r="U241" s="81"/>
      <c r="V241" s="81"/>
      <c r="AA241" s="2"/>
    </row>
    <row r="242" ht="12.75" customHeight="1">
      <c r="A242" s="1"/>
      <c r="B242" s="1"/>
      <c r="L242" s="72"/>
      <c r="S242" s="72"/>
      <c r="T242" s="72"/>
      <c r="U242" s="81"/>
      <c r="V242" s="81"/>
      <c r="AA242" s="2"/>
    </row>
    <row r="243" ht="12.75" customHeight="1">
      <c r="A243" s="1"/>
      <c r="B243" s="1"/>
      <c r="L243" s="72"/>
      <c r="S243" s="72"/>
      <c r="T243" s="72"/>
      <c r="U243" s="81"/>
      <c r="V243" s="81"/>
      <c r="AA243" s="2"/>
    </row>
    <row r="244" ht="12.75" customHeight="1">
      <c r="A244" s="1"/>
      <c r="B244" s="1"/>
      <c r="L244" s="72"/>
      <c r="S244" s="72"/>
      <c r="T244" s="72"/>
      <c r="U244" s="81"/>
      <c r="V244" s="81"/>
      <c r="AA244" s="2"/>
    </row>
    <row r="245" ht="12.75" customHeight="1">
      <c r="A245" s="1"/>
      <c r="B245" s="1"/>
      <c r="L245" s="72"/>
      <c r="S245" s="72"/>
      <c r="T245" s="72"/>
      <c r="U245" s="81"/>
      <c r="V245" s="81"/>
      <c r="AA245" s="2"/>
    </row>
    <row r="246" ht="12.75" customHeight="1">
      <c r="A246" s="1"/>
      <c r="B246" s="1"/>
      <c r="L246" s="72"/>
      <c r="S246" s="72"/>
      <c r="T246" s="72"/>
      <c r="U246" s="81"/>
      <c r="V246" s="81"/>
      <c r="AA246" s="2"/>
    </row>
    <row r="247" ht="12.75" customHeight="1">
      <c r="A247" s="1"/>
      <c r="B247" s="1"/>
      <c r="L247" s="72"/>
      <c r="S247" s="72"/>
      <c r="T247" s="72"/>
      <c r="U247" s="81"/>
      <c r="V247" s="81"/>
      <c r="AA247" s="2"/>
    </row>
    <row r="248" ht="12.75" customHeight="1">
      <c r="A248" s="1"/>
      <c r="B248" s="1"/>
      <c r="L248" s="72"/>
      <c r="S248" s="72"/>
      <c r="T248" s="72"/>
      <c r="U248" s="81"/>
      <c r="V248" s="81"/>
      <c r="AA248" s="2"/>
    </row>
    <row r="249" ht="12.75" customHeight="1">
      <c r="A249" s="1"/>
      <c r="B249" s="1"/>
      <c r="L249" s="72"/>
      <c r="S249" s="72"/>
      <c r="T249" s="72"/>
      <c r="U249" s="81"/>
      <c r="V249" s="81"/>
      <c r="AA249" s="2"/>
    </row>
    <row r="250" ht="12.75" customHeight="1">
      <c r="A250" s="1"/>
      <c r="B250" s="1"/>
      <c r="L250" s="72"/>
      <c r="S250" s="72"/>
      <c r="T250" s="72"/>
      <c r="U250" s="81"/>
      <c r="V250" s="81"/>
      <c r="AA250" s="2"/>
    </row>
    <row r="251" ht="12.75" customHeight="1">
      <c r="A251" s="1"/>
      <c r="B251" s="1"/>
      <c r="L251" s="72"/>
      <c r="S251" s="72"/>
      <c r="T251" s="72"/>
      <c r="U251" s="81"/>
      <c r="V251" s="81"/>
      <c r="AA251" s="2"/>
    </row>
    <row r="252" ht="12.75" customHeight="1">
      <c r="A252" s="1"/>
      <c r="B252" s="1"/>
      <c r="L252" s="72"/>
      <c r="S252" s="72"/>
      <c r="T252" s="72"/>
      <c r="U252" s="81"/>
      <c r="V252" s="81"/>
      <c r="AA252" s="2"/>
    </row>
    <row r="253" ht="12.75" customHeight="1">
      <c r="A253" s="1"/>
      <c r="B253" s="1"/>
      <c r="L253" s="72"/>
      <c r="S253" s="72"/>
      <c r="T253" s="72"/>
      <c r="U253" s="81"/>
      <c r="V253" s="81"/>
      <c r="AA253" s="2"/>
    </row>
    <row r="254" ht="12.75" customHeight="1">
      <c r="A254" s="1"/>
      <c r="B254" s="1"/>
      <c r="L254" s="72"/>
      <c r="S254" s="72"/>
      <c r="T254" s="72"/>
      <c r="U254" s="81"/>
      <c r="V254" s="81"/>
      <c r="AA254" s="2"/>
    </row>
    <row r="255" ht="12.75" customHeight="1">
      <c r="A255" s="1"/>
      <c r="B255" s="1"/>
      <c r="L255" s="72"/>
      <c r="S255" s="72"/>
      <c r="T255" s="72"/>
      <c r="U255" s="81"/>
      <c r="V255" s="81"/>
      <c r="AA255" s="2"/>
    </row>
    <row r="256" ht="12.75" customHeight="1">
      <c r="A256" s="1"/>
      <c r="B256" s="1"/>
      <c r="L256" s="72"/>
      <c r="S256" s="72"/>
      <c r="T256" s="72"/>
      <c r="U256" s="81"/>
      <c r="V256" s="81"/>
      <c r="AA256" s="2"/>
    </row>
    <row r="257" ht="12.75" customHeight="1">
      <c r="A257" s="1"/>
      <c r="B257" s="1"/>
      <c r="L257" s="72"/>
      <c r="S257" s="72"/>
      <c r="T257" s="72"/>
      <c r="U257" s="81"/>
      <c r="V257" s="81"/>
      <c r="AA257" s="2"/>
    </row>
    <row r="258" ht="12.75" customHeight="1">
      <c r="A258" s="1"/>
      <c r="B258" s="1"/>
      <c r="L258" s="72"/>
      <c r="S258" s="72"/>
      <c r="T258" s="72"/>
      <c r="U258" s="81"/>
      <c r="V258" s="81"/>
      <c r="AA258" s="2"/>
    </row>
    <row r="259" ht="12.75" customHeight="1">
      <c r="A259" s="1"/>
      <c r="B259" s="1"/>
      <c r="L259" s="72"/>
      <c r="S259" s="72"/>
      <c r="T259" s="72"/>
      <c r="U259" s="81"/>
      <c r="V259" s="81"/>
      <c r="AA259" s="2"/>
    </row>
    <row r="260" ht="12.75" customHeight="1">
      <c r="A260" s="1"/>
      <c r="B260" s="1"/>
      <c r="L260" s="72"/>
      <c r="S260" s="72"/>
      <c r="T260" s="72"/>
      <c r="U260" s="81"/>
      <c r="V260" s="81"/>
      <c r="AA260" s="2"/>
    </row>
    <row r="261" ht="12.75" customHeight="1">
      <c r="A261" s="1"/>
      <c r="B261" s="1"/>
      <c r="L261" s="72"/>
      <c r="S261" s="72"/>
      <c r="T261" s="72"/>
      <c r="U261" s="81"/>
      <c r="V261" s="81"/>
      <c r="AA261" s="2"/>
    </row>
    <row r="262" ht="12.75" customHeight="1">
      <c r="A262" s="1"/>
      <c r="B262" s="1"/>
      <c r="L262" s="72"/>
      <c r="S262" s="72"/>
      <c r="T262" s="72"/>
      <c r="U262" s="81"/>
      <c r="V262" s="81"/>
      <c r="AA262" s="2"/>
    </row>
    <row r="263" ht="12.75" customHeight="1">
      <c r="A263" s="1"/>
      <c r="B263" s="1"/>
      <c r="L263" s="72"/>
      <c r="S263" s="72"/>
      <c r="T263" s="72"/>
      <c r="U263" s="81"/>
      <c r="V263" s="81"/>
      <c r="AA263" s="2"/>
    </row>
    <row r="264" ht="12.75" customHeight="1">
      <c r="A264" s="1"/>
      <c r="B264" s="1"/>
      <c r="L264" s="72"/>
      <c r="S264" s="72"/>
      <c r="T264" s="72"/>
      <c r="U264" s="81"/>
      <c r="V264" s="81"/>
      <c r="AA264" s="2"/>
    </row>
    <row r="265" ht="12.75" customHeight="1">
      <c r="A265" s="1"/>
      <c r="B265" s="1"/>
      <c r="L265" s="72"/>
      <c r="S265" s="72"/>
      <c r="T265" s="72"/>
      <c r="U265" s="81"/>
      <c r="V265" s="81"/>
      <c r="AA265" s="2"/>
    </row>
    <row r="266" ht="12.75" customHeight="1">
      <c r="A266" s="1"/>
      <c r="B266" s="1"/>
      <c r="L266" s="72"/>
      <c r="S266" s="72"/>
      <c r="T266" s="72"/>
      <c r="U266" s="81"/>
      <c r="V266" s="81"/>
      <c r="AA266" s="2"/>
    </row>
    <row r="267" ht="12.75" customHeight="1">
      <c r="A267" s="1"/>
      <c r="B267" s="1"/>
      <c r="L267" s="72"/>
      <c r="S267" s="72"/>
      <c r="T267" s="72"/>
      <c r="U267" s="81"/>
      <c r="V267" s="81"/>
      <c r="AA267" s="2"/>
    </row>
    <row r="268" ht="12.75" customHeight="1">
      <c r="A268" s="1"/>
      <c r="B268" s="1"/>
      <c r="L268" s="72"/>
      <c r="S268" s="72"/>
      <c r="T268" s="72"/>
      <c r="U268" s="81"/>
      <c r="V268" s="81"/>
      <c r="AA268" s="2"/>
    </row>
    <row r="269" ht="12.75" customHeight="1">
      <c r="A269" s="1"/>
      <c r="B269" s="1"/>
      <c r="L269" s="72"/>
      <c r="S269" s="72"/>
      <c r="T269" s="72"/>
      <c r="U269" s="81"/>
      <c r="V269" s="81"/>
      <c r="AA269" s="2"/>
    </row>
    <row r="270" ht="12.75" customHeight="1">
      <c r="A270" s="1"/>
      <c r="B270" s="1"/>
      <c r="L270" s="72"/>
      <c r="S270" s="72"/>
      <c r="T270" s="72"/>
      <c r="U270" s="81"/>
      <c r="V270" s="81"/>
      <c r="AA270" s="2"/>
    </row>
    <row r="271" ht="12.75" customHeight="1">
      <c r="A271" s="1"/>
      <c r="B271" s="1"/>
      <c r="L271" s="72"/>
      <c r="S271" s="72"/>
      <c r="T271" s="72"/>
      <c r="U271" s="81"/>
      <c r="V271" s="81"/>
      <c r="AA271" s="2"/>
    </row>
    <row r="272" ht="12.75" customHeight="1">
      <c r="A272" s="1"/>
      <c r="B272" s="1"/>
      <c r="L272" s="72"/>
      <c r="S272" s="72"/>
      <c r="T272" s="72"/>
      <c r="U272" s="81"/>
      <c r="V272" s="81"/>
      <c r="AA272" s="2"/>
    </row>
    <row r="273" ht="12.75" customHeight="1">
      <c r="A273" s="1"/>
      <c r="B273" s="1"/>
      <c r="L273" s="72"/>
      <c r="S273" s="72"/>
      <c r="T273" s="72"/>
      <c r="U273" s="81"/>
      <c r="V273" s="81"/>
      <c r="AA273" s="2"/>
    </row>
    <row r="274" ht="12.75" customHeight="1">
      <c r="A274" s="1"/>
      <c r="B274" s="1"/>
      <c r="L274" s="72"/>
      <c r="S274" s="72"/>
      <c r="T274" s="72"/>
      <c r="U274" s="81"/>
      <c r="V274" s="81"/>
      <c r="AA274" s="2"/>
    </row>
    <row r="275" ht="12.75" customHeight="1">
      <c r="A275" s="1"/>
      <c r="B275" s="1"/>
      <c r="L275" s="72"/>
      <c r="S275" s="72"/>
      <c r="T275" s="72"/>
      <c r="U275" s="81"/>
      <c r="V275" s="81"/>
      <c r="AA275" s="2"/>
    </row>
    <row r="276" ht="12.75" customHeight="1">
      <c r="A276" s="1"/>
      <c r="B276" s="1"/>
      <c r="L276" s="72"/>
      <c r="S276" s="72"/>
      <c r="T276" s="72"/>
      <c r="U276" s="81"/>
      <c r="V276" s="81"/>
      <c r="AA276" s="2"/>
    </row>
    <row r="277" ht="12.75" customHeight="1">
      <c r="A277" s="1"/>
      <c r="B277" s="1"/>
      <c r="L277" s="72"/>
      <c r="S277" s="72"/>
      <c r="T277" s="72"/>
      <c r="U277" s="81"/>
      <c r="V277" s="81"/>
      <c r="AA277" s="2"/>
    </row>
    <row r="278" ht="12.75" customHeight="1">
      <c r="A278" s="1"/>
      <c r="B278" s="1"/>
      <c r="L278" s="72"/>
      <c r="S278" s="72"/>
      <c r="T278" s="72"/>
      <c r="U278" s="81"/>
      <c r="V278" s="81"/>
      <c r="AA278" s="2"/>
    </row>
    <row r="279" ht="12.75" customHeight="1">
      <c r="A279" s="1"/>
      <c r="B279" s="1"/>
      <c r="L279" s="72"/>
      <c r="S279" s="72"/>
      <c r="T279" s="72"/>
      <c r="U279" s="81"/>
      <c r="V279" s="81"/>
      <c r="AA279" s="2"/>
    </row>
    <row r="280" ht="12.75" customHeight="1">
      <c r="A280" s="1"/>
      <c r="B280" s="1"/>
      <c r="L280" s="72"/>
      <c r="S280" s="72"/>
      <c r="T280" s="72"/>
      <c r="U280" s="81"/>
      <c r="V280" s="81"/>
      <c r="AA280" s="2"/>
    </row>
    <row r="281" ht="12.75" customHeight="1">
      <c r="A281" s="1"/>
      <c r="B281" s="1"/>
      <c r="L281" s="72"/>
      <c r="S281" s="72"/>
      <c r="T281" s="72"/>
      <c r="U281" s="81"/>
      <c r="V281" s="81"/>
      <c r="AA281" s="2"/>
    </row>
    <row r="282" ht="12.75" customHeight="1">
      <c r="A282" s="1"/>
      <c r="B282" s="1"/>
      <c r="L282" s="72"/>
      <c r="S282" s="72"/>
      <c r="T282" s="72"/>
      <c r="U282" s="81"/>
      <c r="V282" s="81"/>
      <c r="AA282" s="2"/>
    </row>
    <row r="283" ht="12.75" customHeight="1">
      <c r="A283" s="1"/>
      <c r="B283" s="1"/>
      <c r="L283" s="72"/>
      <c r="S283" s="72"/>
      <c r="T283" s="72"/>
      <c r="U283" s="81"/>
      <c r="V283" s="81"/>
      <c r="AA283" s="2"/>
    </row>
    <row r="284" ht="12.75" customHeight="1">
      <c r="A284" s="1"/>
      <c r="B284" s="1"/>
      <c r="L284" s="72"/>
      <c r="S284" s="72"/>
      <c r="T284" s="72"/>
      <c r="U284" s="81"/>
      <c r="V284" s="81"/>
      <c r="AA284" s="2"/>
    </row>
    <row r="285" ht="12.75" customHeight="1">
      <c r="A285" s="1"/>
      <c r="B285" s="1"/>
      <c r="L285" s="72"/>
      <c r="S285" s="72"/>
      <c r="T285" s="72"/>
      <c r="U285" s="81"/>
      <c r="V285" s="81"/>
      <c r="AA285" s="2"/>
    </row>
    <row r="286" ht="12.75" customHeight="1">
      <c r="A286" s="1"/>
      <c r="B286" s="1"/>
      <c r="L286" s="72"/>
      <c r="S286" s="72"/>
      <c r="T286" s="72"/>
      <c r="U286" s="81"/>
      <c r="V286" s="81"/>
      <c r="AA286" s="2"/>
    </row>
    <row r="287" ht="12.75" customHeight="1">
      <c r="A287" s="1"/>
      <c r="B287" s="1"/>
      <c r="L287" s="72"/>
      <c r="S287" s="72"/>
      <c r="T287" s="72"/>
      <c r="U287" s="81"/>
      <c r="V287" s="81"/>
      <c r="AA287" s="2"/>
    </row>
    <row r="288" ht="12.75" customHeight="1">
      <c r="A288" s="1"/>
      <c r="B288" s="1"/>
      <c r="L288" s="72"/>
      <c r="S288" s="72"/>
      <c r="T288" s="72"/>
      <c r="U288" s="81"/>
      <c r="V288" s="81"/>
      <c r="AA288" s="2"/>
    </row>
    <row r="289" ht="12.75" customHeight="1">
      <c r="A289" s="1"/>
      <c r="B289" s="1"/>
      <c r="L289" s="72"/>
      <c r="S289" s="72"/>
      <c r="T289" s="72"/>
      <c r="U289" s="81"/>
      <c r="V289" s="81"/>
      <c r="AA289" s="2"/>
    </row>
    <row r="290" ht="12.75" customHeight="1">
      <c r="A290" s="1"/>
      <c r="B290" s="1"/>
      <c r="L290" s="72"/>
      <c r="S290" s="72"/>
      <c r="T290" s="72"/>
      <c r="U290" s="81"/>
      <c r="V290" s="81"/>
      <c r="AA290" s="2"/>
    </row>
    <row r="291" ht="12.75" customHeight="1">
      <c r="A291" s="1"/>
      <c r="B291" s="1"/>
      <c r="L291" s="72"/>
      <c r="S291" s="72"/>
      <c r="T291" s="72"/>
      <c r="U291" s="81"/>
      <c r="V291" s="81"/>
      <c r="AA291" s="2"/>
    </row>
    <row r="292" ht="12.75" customHeight="1">
      <c r="A292" s="1"/>
      <c r="B292" s="1"/>
      <c r="L292" s="72"/>
      <c r="S292" s="72"/>
      <c r="T292" s="72"/>
      <c r="U292" s="81"/>
      <c r="V292" s="81"/>
      <c r="AA292" s="2"/>
    </row>
    <row r="293" ht="12.75" customHeight="1">
      <c r="A293" s="1"/>
      <c r="B293" s="1"/>
      <c r="L293" s="72"/>
      <c r="S293" s="72"/>
      <c r="T293" s="72"/>
      <c r="U293" s="81"/>
      <c r="V293" s="81"/>
      <c r="AA293" s="2"/>
    </row>
    <row r="294" ht="12.75" customHeight="1">
      <c r="A294" s="1"/>
      <c r="B294" s="1"/>
      <c r="L294" s="72"/>
      <c r="S294" s="72"/>
      <c r="T294" s="72"/>
      <c r="U294" s="81"/>
      <c r="V294" s="81"/>
      <c r="AA294" s="2"/>
    </row>
    <row r="295" ht="12.75" customHeight="1">
      <c r="A295" s="1"/>
      <c r="B295" s="1"/>
      <c r="L295" s="72"/>
      <c r="S295" s="72"/>
      <c r="T295" s="72"/>
      <c r="U295" s="81"/>
      <c r="V295" s="81"/>
      <c r="AA295" s="2"/>
    </row>
    <row r="296" ht="12.75" customHeight="1">
      <c r="A296" s="1"/>
      <c r="B296" s="1"/>
      <c r="L296" s="72"/>
      <c r="S296" s="72"/>
      <c r="T296" s="72"/>
      <c r="U296" s="81"/>
      <c r="V296" s="81"/>
      <c r="AA296" s="2"/>
    </row>
    <row r="297" ht="12.75" customHeight="1">
      <c r="A297" s="1"/>
      <c r="B297" s="1"/>
      <c r="L297" s="72"/>
      <c r="S297" s="72"/>
      <c r="T297" s="72"/>
      <c r="U297" s="81"/>
      <c r="V297" s="81"/>
      <c r="AA297" s="2"/>
    </row>
    <row r="298" ht="12.75" customHeight="1">
      <c r="A298" s="1"/>
      <c r="B298" s="1"/>
      <c r="L298" s="72"/>
      <c r="S298" s="72"/>
      <c r="T298" s="72"/>
      <c r="U298" s="81"/>
      <c r="V298" s="81"/>
      <c r="AA298" s="2"/>
    </row>
    <row r="299" ht="12.75" customHeight="1">
      <c r="A299" s="1"/>
      <c r="B299" s="1"/>
      <c r="L299" s="72"/>
      <c r="S299" s="72"/>
      <c r="T299" s="72"/>
      <c r="U299" s="81"/>
      <c r="V299" s="81"/>
      <c r="AA299" s="2"/>
    </row>
    <row r="300" ht="12.75" customHeight="1">
      <c r="A300" s="1"/>
      <c r="B300" s="1"/>
      <c r="L300" s="72"/>
      <c r="S300" s="72"/>
      <c r="T300" s="72"/>
      <c r="U300" s="81"/>
      <c r="V300" s="81"/>
      <c r="AA300" s="2"/>
    </row>
    <row r="301" ht="12.75" customHeight="1">
      <c r="A301" s="1"/>
      <c r="B301" s="1"/>
      <c r="L301" s="72"/>
      <c r="S301" s="72"/>
      <c r="T301" s="72"/>
      <c r="U301" s="81"/>
      <c r="V301" s="81"/>
      <c r="AA301" s="2"/>
    </row>
    <row r="302" ht="12.75" customHeight="1">
      <c r="A302" s="1"/>
      <c r="B302" s="1"/>
      <c r="L302" s="72"/>
      <c r="S302" s="72"/>
      <c r="T302" s="72"/>
      <c r="U302" s="81"/>
      <c r="V302" s="81"/>
      <c r="AA302" s="2"/>
    </row>
    <row r="303" ht="12.75" customHeight="1">
      <c r="A303" s="1"/>
      <c r="B303" s="1"/>
      <c r="L303" s="72"/>
      <c r="S303" s="72"/>
      <c r="T303" s="72"/>
      <c r="U303" s="81"/>
      <c r="V303" s="81"/>
      <c r="AA303" s="2"/>
    </row>
    <row r="304" ht="12.75" customHeight="1">
      <c r="A304" s="1"/>
      <c r="B304" s="1"/>
      <c r="L304" s="72"/>
      <c r="S304" s="72"/>
      <c r="T304" s="72"/>
      <c r="U304" s="81"/>
      <c r="V304" s="81"/>
      <c r="AA304" s="2"/>
    </row>
    <row r="305" ht="12.75" customHeight="1">
      <c r="A305" s="1"/>
      <c r="B305" s="1"/>
      <c r="L305" s="72"/>
      <c r="S305" s="72"/>
      <c r="T305" s="72"/>
      <c r="U305" s="81"/>
      <c r="V305" s="81"/>
      <c r="AA305" s="2"/>
    </row>
    <row r="306" ht="12.75" customHeight="1">
      <c r="A306" s="1"/>
      <c r="B306" s="1"/>
      <c r="L306" s="72"/>
      <c r="S306" s="72"/>
      <c r="T306" s="72"/>
      <c r="U306" s="81"/>
      <c r="V306" s="81"/>
      <c r="AA306" s="2"/>
    </row>
    <row r="307" ht="12.75" customHeight="1">
      <c r="A307" s="1"/>
      <c r="B307" s="1"/>
      <c r="L307" s="72"/>
      <c r="S307" s="72"/>
      <c r="T307" s="72"/>
      <c r="U307" s="81"/>
      <c r="V307" s="81"/>
      <c r="AA307" s="2"/>
    </row>
    <row r="308" ht="12.75" customHeight="1">
      <c r="A308" s="1"/>
      <c r="B308" s="1"/>
      <c r="L308" s="72"/>
      <c r="S308" s="72"/>
      <c r="T308" s="72"/>
      <c r="U308" s="81"/>
      <c r="V308" s="81"/>
      <c r="AA308" s="2"/>
    </row>
    <row r="309" ht="12.75" customHeight="1">
      <c r="A309" s="1"/>
      <c r="B309" s="1"/>
      <c r="L309" s="72"/>
      <c r="S309" s="72"/>
      <c r="T309" s="72"/>
      <c r="U309" s="81"/>
      <c r="V309" s="81"/>
      <c r="AA309" s="2"/>
    </row>
    <row r="310" ht="12.75" customHeight="1">
      <c r="A310" s="1"/>
      <c r="B310" s="1"/>
      <c r="L310" s="72"/>
      <c r="S310" s="72"/>
      <c r="T310" s="72"/>
      <c r="U310" s="81"/>
      <c r="V310" s="81"/>
      <c r="AA310" s="2"/>
    </row>
    <row r="311" ht="12.75" customHeight="1">
      <c r="A311" s="1"/>
      <c r="B311" s="1"/>
      <c r="L311" s="72"/>
      <c r="S311" s="72"/>
      <c r="T311" s="72"/>
      <c r="U311" s="81"/>
      <c r="V311" s="81"/>
      <c r="AA311" s="2"/>
    </row>
    <row r="312" ht="12.75" customHeight="1">
      <c r="A312" s="1"/>
      <c r="B312" s="1"/>
      <c r="L312" s="72"/>
      <c r="S312" s="72"/>
      <c r="T312" s="72"/>
      <c r="U312" s="81"/>
      <c r="V312" s="81"/>
      <c r="AA312" s="2"/>
    </row>
    <row r="313" ht="12.75" customHeight="1">
      <c r="A313" s="1"/>
      <c r="B313" s="1"/>
      <c r="L313" s="72"/>
      <c r="S313" s="72"/>
      <c r="T313" s="72"/>
      <c r="U313" s="81"/>
      <c r="V313" s="81"/>
      <c r="AA313" s="2"/>
    </row>
    <row r="314" ht="12.75" customHeight="1">
      <c r="A314" s="1"/>
      <c r="B314" s="1"/>
      <c r="L314" s="72"/>
      <c r="S314" s="72"/>
      <c r="T314" s="72"/>
      <c r="U314" s="81"/>
      <c r="V314" s="81"/>
      <c r="AA314" s="2"/>
    </row>
    <row r="315" ht="12.75" customHeight="1">
      <c r="A315" s="1"/>
      <c r="B315" s="1"/>
      <c r="L315" s="72"/>
      <c r="S315" s="72"/>
      <c r="T315" s="72"/>
      <c r="U315" s="81"/>
      <c r="V315" s="81"/>
      <c r="AA315" s="2"/>
    </row>
    <row r="316" ht="12.75" customHeight="1">
      <c r="A316" s="1"/>
      <c r="B316" s="1"/>
      <c r="L316" s="72"/>
      <c r="S316" s="72"/>
      <c r="T316" s="72"/>
      <c r="U316" s="81"/>
      <c r="V316" s="81"/>
      <c r="AA316" s="2"/>
    </row>
    <row r="317" ht="12.75" customHeight="1">
      <c r="A317" s="1"/>
      <c r="B317" s="1"/>
      <c r="L317" s="72"/>
      <c r="S317" s="72"/>
      <c r="T317" s="72"/>
      <c r="U317" s="81"/>
      <c r="V317" s="81"/>
      <c r="AA317" s="2"/>
    </row>
    <row r="318" ht="12.75" customHeight="1">
      <c r="A318" s="1"/>
      <c r="B318" s="1"/>
      <c r="L318" s="72"/>
      <c r="S318" s="72"/>
      <c r="T318" s="72"/>
      <c r="U318" s="81"/>
      <c r="V318" s="81"/>
      <c r="AA318" s="2"/>
    </row>
    <row r="319" ht="12.75" customHeight="1">
      <c r="A319" s="1"/>
      <c r="B319" s="1"/>
      <c r="L319" s="72"/>
      <c r="S319" s="72"/>
      <c r="T319" s="72"/>
      <c r="U319" s="81"/>
      <c r="V319" s="81"/>
      <c r="AA319" s="2"/>
    </row>
    <row r="320" ht="12.75" customHeight="1">
      <c r="A320" s="1"/>
      <c r="B320" s="1"/>
      <c r="L320" s="72"/>
      <c r="S320" s="72"/>
      <c r="T320" s="72"/>
      <c r="U320" s="81"/>
      <c r="V320" s="81"/>
      <c r="AA320" s="2"/>
    </row>
    <row r="321" ht="12.75" customHeight="1">
      <c r="A321" s="1"/>
      <c r="B321" s="1"/>
      <c r="L321" s="72"/>
      <c r="S321" s="72"/>
      <c r="T321" s="72"/>
      <c r="U321" s="81"/>
      <c r="V321" s="81"/>
      <c r="AA321" s="2"/>
    </row>
    <row r="322" ht="12.75" customHeight="1">
      <c r="A322" s="1"/>
      <c r="B322" s="1"/>
      <c r="L322" s="72"/>
      <c r="S322" s="72"/>
      <c r="T322" s="72"/>
      <c r="U322" s="81"/>
      <c r="V322" s="81"/>
      <c r="AA322" s="2"/>
    </row>
    <row r="323" ht="12.75" customHeight="1">
      <c r="A323" s="1"/>
      <c r="B323" s="1"/>
      <c r="L323" s="72"/>
      <c r="S323" s="72"/>
      <c r="T323" s="72"/>
      <c r="U323" s="81"/>
      <c r="V323" s="81"/>
      <c r="AA323" s="2"/>
    </row>
    <row r="324" ht="12.75" customHeight="1">
      <c r="A324" s="1"/>
      <c r="B324" s="1"/>
      <c r="L324" s="72"/>
      <c r="S324" s="72"/>
      <c r="T324" s="72"/>
      <c r="U324" s="81"/>
      <c r="V324" s="81"/>
      <c r="AA324" s="2"/>
    </row>
    <row r="325" ht="12.75" customHeight="1">
      <c r="A325" s="1"/>
      <c r="B325" s="1"/>
      <c r="L325" s="72"/>
      <c r="S325" s="72"/>
      <c r="T325" s="72"/>
      <c r="U325" s="81"/>
      <c r="V325" s="81"/>
      <c r="AA325" s="2"/>
    </row>
    <row r="326" ht="12.75" customHeight="1">
      <c r="A326" s="1"/>
      <c r="B326" s="1"/>
      <c r="L326" s="72"/>
      <c r="S326" s="72"/>
      <c r="T326" s="72"/>
      <c r="U326" s="81"/>
      <c r="V326" s="81"/>
      <c r="AA326" s="2"/>
    </row>
    <row r="327" ht="12.75" customHeight="1">
      <c r="A327" s="1"/>
      <c r="B327" s="1"/>
      <c r="L327" s="72"/>
      <c r="S327" s="72"/>
      <c r="T327" s="72"/>
      <c r="U327" s="81"/>
      <c r="V327" s="81"/>
      <c r="AA327" s="2"/>
    </row>
    <row r="328" ht="12.75" customHeight="1">
      <c r="A328" s="1"/>
      <c r="B328" s="1"/>
      <c r="L328" s="72"/>
      <c r="S328" s="72"/>
      <c r="T328" s="72"/>
      <c r="U328" s="81"/>
      <c r="V328" s="81"/>
      <c r="AA328" s="2"/>
    </row>
    <row r="329" ht="12.75" customHeight="1">
      <c r="A329" s="1"/>
      <c r="B329" s="1"/>
      <c r="L329" s="72"/>
      <c r="S329" s="72"/>
      <c r="T329" s="72"/>
      <c r="U329" s="81"/>
      <c r="V329" s="81"/>
      <c r="AA329" s="2"/>
    </row>
    <row r="330" ht="12.75" customHeight="1">
      <c r="A330" s="1"/>
      <c r="B330" s="1"/>
      <c r="L330" s="72"/>
      <c r="S330" s="72"/>
      <c r="T330" s="72"/>
      <c r="U330" s="81"/>
      <c r="V330" s="81"/>
      <c r="AA330" s="2"/>
    </row>
    <row r="331" ht="12.75" customHeight="1">
      <c r="A331" s="1"/>
      <c r="B331" s="1"/>
      <c r="L331" s="72"/>
      <c r="S331" s="72"/>
      <c r="T331" s="72"/>
      <c r="U331" s="81"/>
      <c r="V331" s="81"/>
      <c r="AA331" s="2"/>
    </row>
    <row r="332" ht="12.75" customHeight="1">
      <c r="A332" s="1"/>
      <c r="B332" s="1"/>
      <c r="L332" s="72"/>
      <c r="S332" s="72"/>
      <c r="T332" s="72"/>
      <c r="U332" s="81"/>
      <c r="V332" s="81"/>
      <c r="AA332" s="2"/>
    </row>
    <row r="333" ht="12.75" customHeight="1">
      <c r="A333" s="1"/>
      <c r="B333" s="1"/>
      <c r="L333" s="72"/>
      <c r="S333" s="72"/>
      <c r="T333" s="72"/>
      <c r="U333" s="81"/>
      <c r="V333" s="81"/>
      <c r="AA333" s="2"/>
    </row>
    <row r="334" ht="12.75" customHeight="1">
      <c r="A334" s="1"/>
      <c r="B334" s="1"/>
      <c r="L334" s="72"/>
      <c r="S334" s="72"/>
      <c r="T334" s="72"/>
      <c r="U334" s="81"/>
      <c r="V334" s="81"/>
      <c r="AA334" s="2"/>
    </row>
    <row r="335" ht="12.75" customHeight="1">
      <c r="A335" s="1"/>
      <c r="B335" s="1"/>
      <c r="L335" s="72"/>
      <c r="S335" s="72"/>
      <c r="T335" s="72"/>
      <c r="U335" s="81"/>
      <c r="V335" s="81"/>
      <c r="AA335" s="2"/>
    </row>
    <row r="336" ht="12.75" customHeight="1">
      <c r="A336" s="1"/>
      <c r="B336" s="1"/>
      <c r="L336" s="72"/>
      <c r="S336" s="72"/>
      <c r="T336" s="72"/>
      <c r="U336" s="81"/>
      <c r="V336" s="81"/>
      <c r="AA336" s="2"/>
    </row>
    <row r="337" ht="12.75" customHeight="1">
      <c r="A337" s="1"/>
      <c r="B337" s="1"/>
      <c r="L337" s="72"/>
      <c r="S337" s="72"/>
      <c r="T337" s="72"/>
      <c r="U337" s="81"/>
      <c r="V337" s="81"/>
      <c r="AA337" s="2"/>
    </row>
    <row r="338" ht="12.75" customHeight="1">
      <c r="A338" s="1"/>
      <c r="B338" s="1"/>
      <c r="L338" s="72"/>
      <c r="S338" s="72"/>
      <c r="T338" s="72"/>
      <c r="U338" s="81"/>
      <c r="V338" s="81"/>
      <c r="AA338" s="2"/>
    </row>
    <row r="339" ht="12.75" customHeight="1">
      <c r="A339" s="1"/>
      <c r="B339" s="1"/>
      <c r="L339" s="72"/>
      <c r="S339" s="72"/>
      <c r="T339" s="72"/>
      <c r="U339" s="81"/>
      <c r="V339" s="81"/>
      <c r="AA339" s="2"/>
    </row>
    <row r="340" ht="12.75" customHeight="1">
      <c r="A340" s="1"/>
      <c r="B340" s="1"/>
      <c r="L340" s="72"/>
      <c r="S340" s="72"/>
      <c r="T340" s="72"/>
      <c r="U340" s="81"/>
      <c r="V340" s="81"/>
      <c r="AA340" s="2"/>
    </row>
    <row r="341" ht="12.75" customHeight="1">
      <c r="A341" s="1"/>
      <c r="B341" s="1"/>
      <c r="L341" s="72"/>
      <c r="S341" s="72"/>
      <c r="T341" s="72"/>
      <c r="U341" s="81"/>
      <c r="V341" s="81"/>
      <c r="AA341" s="2"/>
    </row>
    <row r="342" ht="12.75" customHeight="1">
      <c r="A342" s="1"/>
      <c r="B342" s="1"/>
      <c r="L342" s="72"/>
      <c r="S342" s="72"/>
      <c r="T342" s="72"/>
      <c r="U342" s="81"/>
      <c r="V342" s="81"/>
      <c r="AA342" s="2"/>
    </row>
    <row r="343" ht="12.75" customHeight="1">
      <c r="A343" s="1"/>
      <c r="B343" s="1"/>
      <c r="L343" s="72"/>
      <c r="S343" s="72"/>
      <c r="T343" s="72"/>
      <c r="U343" s="81"/>
      <c r="V343" s="81"/>
      <c r="AA343" s="2"/>
    </row>
    <row r="344" ht="12.75" customHeight="1">
      <c r="A344" s="1"/>
      <c r="B344" s="1"/>
      <c r="L344" s="72"/>
      <c r="S344" s="72"/>
      <c r="T344" s="72"/>
      <c r="U344" s="81"/>
      <c r="V344" s="81"/>
      <c r="AA344" s="2"/>
    </row>
    <row r="345" ht="12.75" customHeight="1">
      <c r="A345" s="1"/>
      <c r="B345" s="1"/>
      <c r="L345" s="72"/>
      <c r="S345" s="72"/>
      <c r="T345" s="72"/>
      <c r="U345" s="81"/>
      <c r="V345" s="81"/>
      <c r="AA345" s="2"/>
    </row>
    <row r="346" ht="12.75" customHeight="1">
      <c r="A346" s="1"/>
      <c r="B346" s="1"/>
      <c r="L346" s="72"/>
      <c r="S346" s="72"/>
      <c r="T346" s="72"/>
      <c r="U346" s="81"/>
      <c r="V346" s="81"/>
      <c r="AA346" s="2"/>
    </row>
    <row r="347" ht="12.75" customHeight="1">
      <c r="A347" s="1"/>
      <c r="B347" s="1"/>
      <c r="L347" s="72"/>
      <c r="S347" s="72"/>
      <c r="T347" s="72"/>
      <c r="U347" s="81"/>
      <c r="V347" s="81"/>
      <c r="AA347" s="2"/>
    </row>
    <row r="348" ht="12.75" customHeight="1">
      <c r="A348" s="1"/>
      <c r="B348" s="1"/>
      <c r="L348" s="72"/>
      <c r="S348" s="72"/>
      <c r="T348" s="72"/>
      <c r="U348" s="81"/>
      <c r="V348" s="81"/>
      <c r="AA348" s="2"/>
    </row>
    <row r="349" ht="12.75" customHeight="1">
      <c r="A349" s="1"/>
      <c r="B349" s="1"/>
      <c r="L349" s="72"/>
      <c r="S349" s="72"/>
      <c r="T349" s="72"/>
      <c r="U349" s="81"/>
      <c r="V349" s="81"/>
      <c r="AA349" s="2"/>
    </row>
    <row r="350" ht="12.75" customHeight="1">
      <c r="A350" s="1"/>
      <c r="B350" s="1"/>
      <c r="L350" s="72"/>
      <c r="S350" s="72"/>
      <c r="T350" s="72"/>
      <c r="U350" s="81"/>
      <c r="V350" s="81"/>
      <c r="AA350" s="2"/>
    </row>
    <row r="351" ht="12.75" customHeight="1">
      <c r="A351" s="1"/>
      <c r="B351" s="1"/>
      <c r="L351" s="72"/>
      <c r="S351" s="72"/>
      <c r="T351" s="72"/>
      <c r="U351" s="81"/>
      <c r="V351" s="81"/>
      <c r="AA351" s="2"/>
    </row>
    <row r="352" ht="12.75" customHeight="1">
      <c r="A352" s="1"/>
      <c r="B352" s="1"/>
      <c r="L352" s="72"/>
      <c r="S352" s="72"/>
      <c r="T352" s="72"/>
      <c r="U352" s="81"/>
      <c r="V352" s="81"/>
      <c r="AA352" s="2"/>
    </row>
    <row r="353" ht="12.75" customHeight="1">
      <c r="A353" s="1"/>
      <c r="B353" s="1"/>
      <c r="L353" s="72"/>
      <c r="S353" s="72"/>
      <c r="T353" s="72"/>
      <c r="U353" s="81"/>
      <c r="V353" s="81"/>
      <c r="AA353" s="2"/>
    </row>
    <row r="354" ht="12.75" customHeight="1">
      <c r="A354" s="1"/>
      <c r="B354" s="1"/>
      <c r="L354" s="72"/>
      <c r="S354" s="72"/>
      <c r="T354" s="72"/>
      <c r="U354" s="81"/>
      <c r="V354" s="81"/>
      <c r="AA354" s="2"/>
    </row>
    <row r="355" ht="12.75" customHeight="1">
      <c r="A355" s="1"/>
      <c r="B355" s="1"/>
      <c r="L355" s="72"/>
      <c r="S355" s="72"/>
      <c r="T355" s="72"/>
      <c r="U355" s="81"/>
      <c r="V355" s="81"/>
      <c r="AA355" s="2"/>
    </row>
    <row r="356" ht="12.75" customHeight="1">
      <c r="A356" s="1"/>
      <c r="B356" s="1"/>
      <c r="L356" s="72"/>
      <c r="S356" s="72"/>
      <c r="T356" s="72"/>
      <c r="U356" s="81"/>
      <c r="V356" s="81"/>
      <c r="AA356" s="2"/>
    </row>
    <row r="357" ht="12.75" customHeight="1">
      <c r="A357" s="1"/>
      <c r="B357" s="1"/>
      <c r="L357" s="72"/>
      <c r="S357" s="72"/>
      <c r="T357" s="72"/>
      <c r="U357" s="81"/>
      <c r="V357" s="81"/>
      <c r="AA357" s="2"/>
    </row>
    <row r="358" ht="12.75" customHeight="1">
      <c r="A358" s="1"/>
      <c r="B358" s="1"/>
      <c r="L358" s="72"/>
      <c r="S358" s="72"/>
      <c r="T358" s="72"/>
      <c r="U358" s="81"/>
      <c r="V358" s="81"/>
      <c r="AA358" s="2"/>
    </row>
    <row r="359" ht="12.75" customHeight="1">
      <c r="A359" s="1"/>
      <c r="B359" s="1"/>
      <c r="L359" s="72"/>
      <c r="S359" s="72"/>
      <c r="T359" s="72"/>
      <c r="U359" s="81"/>
      <c r="V359" s="81"/>
      <c r="AA359" s="2"/>
    </row>
    <row r="360" ht="12.75" customHeight="1">
      <c r="A360" s="1"/>
      <c r="B360" s="1"/>
      <c r="L360" s="72"/>
      <c r="S360" s="72"/>
      <c r="T360" s="72"/>
      <c r="U360" s="81"/>
      <c r="V360" s="81"/>
      <c r="AA360" s="2"/>
    </row>
    <row r="361" ht="12.75" customHeight="1">
      <c r="A361" s="1"/>
      <c r="B361" s="1"/>
      <c r="L361" s="72"/>
      <c r="S361" s="72"/>
      <c r="T361" s="72"/>
      <c r="U361" s="81"/>
      <c r="V361" s="81"/>
      <c r="AA361" s="2"/>
    </row>
    <row r="362" ht="12.75" customHeight="1">
      <c r="A362" s="1"/>
      <c r="B362" s="1"/>
      <c r="L362" s="72"/>
      <c r="S362" s="72"/>
      <c r="T362" s="72"/>
      <c r="U362" s="81"/>
      <c r="V362" s="81"/>
      <c r="AA362" s="2"/>
    </row>
    <row r="363" ht="12.75" customHeight="1">
      <c r="A363" s="1"/>
      <c r="B363" s="1"/>
      <c r="L363" s="72"/>
      <c r="S363" s="72"/>
      <c r="T363" s="72"/>
      <c r="U363" s="81"/>
      <c r="V363" s="81"/>
      <c r="AA363" s="2"/>
    </row>
    <row r="364" ht="12.75" customHeight="1">
      <c r="A364" s="1"/>
      <c r="B364" s="1"/>
      <c r="L364" s="72"/>
      <c r="S364" s="72"/>
      <c r="T364" s="72"/>
      <c r="U364" s="81"/>
      <c r="V364" s="81"/>
      <c r="AA364" s="2"/>
    </row>
    <row r="365" ht="12.75" customHeight="1">
      <c r="A365" s="1"/>
      <c r="B365" s="1"/>
      <c r="L365" s="72"/>
      <c r="S365" s="72"/>
      <c r="T365" s="72"/>
      <c r="U365" s="81"/>
      <c r="V365" s="81"/>
      <c r="AA365" s="2"/>
    </row>
    <row r="366" ht="12.75" customHeight="1">
      <c r="A366" s="1"/>
      <c r="B366" s="1"/>
      <c r="L366" s="72"/>
      <c r="S366" s="72"/>
      <c r="T366" s="72"/>
      <c r="U366" s="81"/>
      <c r="V366" s="81"/>
      <c r="AA366" s="2"/>
    </row>
    <row r="367" ht="12.75" customHeight="1">
      <c r="A367" s="1"/>
      <c r="B367" s="1"/>
      <c r="L367" s="72"/>
      <c r="S367" s="72"/>
      <c r="T367" s="72"/>
      <c r="U367" s="81"/>
      <c r="V367" s="81"/>
      <c r="AA367" s="2"/>
    </row>
    <row r="368" ht="12.75" customHeight="1">
      <c r="A368" s="1"/>
      <c r="B368" s="1"/>
      <c r="L368" s="72"/>
      <c r="S368" s="72"/>
      <c r="T368" s="72"/>
      <c r="U368" s="81"/>
      <c r="V368" s="81"/>
      <c r="AA368" s="2"/>
    </row>
    <row r="369" ht="12.75" customHeight="1">
      <c r="A369" s="1"/>
      <c r="B369" s="1"/>
      <c r="L369" s="72"/>
      <c r="S369" s="72"/>
      <c r="T369" s="72"/>
      <c r="U369" s="81"/>
      <c r="V369" s="81"/>
      <c r="AA369" s="2"/>
    </row>
    <row r="370" ht="12.75" customHeight="1">
      <c r="A370" s="1"/>
      <c r="B370" s="1"/>
      <c r="L370" s="72"/>
      <c r="S370" s="72"/>
      <c r="T370" s="72"/>
      <c r="U370" s="81"/>
      <c r="V370" s="81"/>
      <c r="AA370" s="2"/>
    </row>
    <row r="371" ht="12.75" customHeight="1">
      <c r="A371" s="1"/>
      <c r="B371" s="1"/>
      <c r="L371" s="72"/>
      <c r="S371" s="72"/>
      <c r="T371" s="72"/>
      <c r="U371" s="81"/>
      <c r="V371" s="81"/>
      <c r="AA371" s="2"/>
    </row>
    <row r="372" ht="12.75" customHeight="1">
      <c r="A372" s="1"/>
      <c r="B372" s="1"/>
      <c r="L372" s="72"/>
      <c r="S372" s="72"/>
      <c r="T372" s="72"/>
      <c r="U372" s="81"/>
      <c r="V372" s="81"/>
      <c r="AA372" s="2"/>
    </row>
    <row r="373" ht="12.75" customHeight="1">
      <c r="A373" s="1"/>
      <c r="B373" s="1"/>
      <c r="L373" s="72"/>
      <c r="S373" s="72"/>
      <c r="T373" s="72"/>
      <c r="U373" s="81"/>
      <c r="V373" s="81"/>
      <c r="AA373" s="2"/>
    </row>
    <row r="374" ht="12.75" customHeight="1">
      <c r="A374" s="1"/>
      <c r="B374" s="1"/>
      <c r="L374" s="72"/>
      <c r="S374" s="72"/>
      <c r="T374" s="72"/>
      <c r="U374" s="81"/>
      <c r="V374" s="81"/>
      <c r="AA374" s="2"/>
    </row>
    <row r="375" ht="12.75" customHeight="1">
      <c r="A375" s="1"/>
      <c r="B375" s="1"/>
      <c r="L375" s="72"/>
      <c r="S375" s="72"/>
      <c r="T375" s="72"/>
      <c r="U375" s="81"/>
      <c r="V375" s="81"/>
      <c r="AA375" s="2"/>
    </row>
    <row r="376" ht="12.75" customHeight="1">
      <c r="A376" s="1"/>
      <c r="B376" s="1"/>
      <c r="L376" s="72"/>
      <c r="S376" s="72"/>
      <c r="T376" s="72"/>
      <c r="U376" s="81"/>
      <c r="V376" s="81"/>
      <c r="AA376" s="2"/>
    </row>
    <row r="377" ht="12.75" customHeight="1">
      <c r="A377" s="1"/>
      <c r="B377" s="1"/>
      <c r="L377" s="72"/>
      <c r="S377" s="72"/>
      <c r="T377" s="72"/>
      <c r="U377" s="81"/>
      <c r="V377" s="81"/>
      <c r="AA377" s="2"/>
    </row>
    <row r="378" ht="12.75" customHeight="1">
      <c r="A378" s="1"/>
      <c r="B378" s="1"/>
      <c r="L378" s="72"/>
      <c r="S378" s="72"/>
      <c r="T378" s="72"/>
      <c r="U378" s="81"/>
      <c r="V378" s="81"/>
      <c r="AA378" s="2"/>
    </row>
    <row r="379" ht="12.75" customHeight="1">
      <c r="A379" s="1"/>
      <c r="B379" s="1"/>
      <c r="L379" s="72"/>
      <c r="S379" s="72"/>
      <c r="T379" s="72"/>
      <c r="U379" s="81"/>
      <c r="V379" s="81"/>
      <c r="AA379" s="2"/>
    </row>
    <row r="380" ht="12.75" customHeight="1">
      <c r="A380" s="1"/>
      <c r="B380" s="1"/>
      <c r="L380" s="72"/>
      <c r="S380" s="72"/>
      <c r="T380" s="72"/>
      <c r="U380" s="81"/>
      <c r="V380" s="81"/>
      <c r="AA380" s="2"/>
    </row>
    <row r="381" ht="12.75" customHeight="1">
      <c r="A381" s="1"/>
      <c r="B381" s="1"/>
      <c r="L381" s="72"/>
      <c r="S381" s="72"/>
      <c r="T381" s="72"/>
      <c r="U381" s="81"/>
      <c r="V381" s="81"/>
      <c r="AA381" s="2"/>
    </row>
    <row r="382" ht="12.75" customHeight="1">
      <c r="A382" s="1"/>
      <c r="B382" s="1"/>
      <c r="L382" s="72"/>
      <c r="S382" s="72"/>
      <c r="T382" s="72"/>
      <c r="U382" s="81"/>
      <c r="V382" s="81"/>
      <c r="AA382" s="2"/>
    </row>
    <row r="383" ht="12.75" customHeight="1">
      <c r="A383" s="1"/>
      <c r="B383" s="1"/>
      <c r="L383" s="72"/>
      <c r="S383" s="72"/>
      <c r="T383" s="72"/>
      <c r="U383" s="81"/>
      <c r="V383" s="81"/>
      <c r="AA383" s="2"/>
    </row>
    <row r="384" ht="12.75" customHeight="1">
      <c r="A384" s="1"/>
      <c r="B384" s="1"/>
      <c r="L384" s="72"/>
      <c r="S384" s="72"/>
      <c r="T384" s="72"/>
      <c r="U384" s="81"/>
      <c r="V384" s="81"/>
      <c r="AA384" s="2"/>
    </row>
    <row r="385" ht="12.75" customHeight="1">
      <c r="A385" s="1"/>
      <c r="B385" s="1"/>
      <c r="L385" s="72"/>
      <c r="S385" s="72"/>
      <c r="T385" s="72"/>
      <c r="U385" s="81"/>
      <c r="V385" s="81"/>
      <c r="AA385" s="2"/>
    </row>
    <row r="386" ht="12.75" customHeight="1">
      <c r="A386" s="1"/>
      <c r="B386" s="1"/>
      <c r="L386" s="72"/>
      <c r="S386" s="72"/>
      <c r="T386" s="72"/>
      <c r="U386" s="81"/>
      <c r="V386" s="81"/>
      <c r="AA386" s="2"/>
    </row>
    <row r="387" ht="12.75" customHeight="1">
      <c r="A387" s="1"/>
      <c r="B387" s="1"/>
      <c r="L387" s="72"/>
      <c r="S387" s="72"/>
      <c r="T387" s="72"/>
      <c r="U387" s="81"/>
      <c r="V387" s="81"/>
      <c r="AA387" s="2"/>
    </row>
    <row r="388" ht="12.75" customHeight="1">
      <c r="A388" s="1"/>
      <c r="B388" s="1"/>
      <c r="L388" s="72"/>
      <c r="S388" s="72"/>
      <c r="T388" s="72"/>
      <c r="U388" s="81"/>
      <c r="V388" s="81"/>
      <c r="AA388" s="2"/>
    </row>
    <row r="389" ht="12.75" customHeight="1">
      <c r="A389" s="1"/>
      <c r="B389" s="1"/>
      <c r="L389" s="72"/>
      <c r="S389" s="72"/>
      <c r="T389" s="72"/>
      <c r="U389" s="81"/>
      <c r="V389" s="81"/>
      <c r="AA389" s="2"/>
    </row>
    <row r="390" ht="12.75" customHeight="1">
      <c r="A390" s="1"/>
      <c r="B390" s="1"/>
      <c r="L390" s="72"/>
      <c r="S390" s="72"/>
      <c r="T390" s="72"/>
      <c r="U390" s="81"/>
      <c r="V390" s="81"/>
      <c r="AA390" s="2"/>
    </row>
    <row r="391" ht="12.75" customHeight="1">
      <c r="A391" s="1"/>
      <c r="B391" s="1"/>
      <c r="L391" s="72"/>
      <c r="S391" s="72"/>
      <c r="T391" s="72"/>
      <c r="U391" s="81"/>
      <c r="V391" s="81"/>
      <c r="AA391" s="2"/>
    </row>
    <row r="392" ht="12.75" customHeight="1">
      <c r="A392" s="1"/>
      <c r="B392" s="1"/>
      <c r="L392" s="72"/>
      <c r="S392" s="72"/>
      <c r="T392" s="72"/>
      <c r="U392" s="81"/>
      <c r="V392" s="81"/>
      <c r="AA392" s="2"/>
    </row>
    <row r="393" ht="12.75" customHeight="1">
      <c r="A393" s="1"/>
      <c r="B393" s="1"/>
      <c r="L393" s="72"/>
      <c r="S393" s="72"/>
      <c r="T393" s="72"/>
      <c r="U393" s="81"/>
      <c r="V393" s="81"/>
      <c r="AA393" s="2"/>
    </row>
    <row r="394" ht="12.75" customHeight="1">
      <c r="A394" s="1"/>
      <c r="B394" s="1"/>
      <c r="L394" s="72"/>
      <c r="S394" s="72"/>
      <c r="T394" s="72"/>
      <c r="U394" s="81"/>
      <c r="V394" s="81"/>
      <c r="AA394" s="2"/>
    </row>
    <row r="395" ht="12.75" customHeight="1">
      <c r="A395" s="1"/>
      <c r="B395" s="1"/>
      <c r="L395" s="72"/>
      <c r="S395" s="72"/>
      <c r="T395" s="72"/>
      <c r="U395" s="81"/>
      <c r="V395" s="81"/>
      <c r="AA395" s="2"/>
    </row>
    <row r="396" ht="12.75" customHeight="1">
      <c r="A396" s="1"/>
      <c r="B396" s="1"/>
      <c r="L396" s="72"/>
      <c r="S396" s="72"/>
      <c r="T396" s="72"/>
      <c r="U396" s="81"/>
      <c r="V396" s="81"/>
      <c r="AA396" s="2"/>
    </row>
    <row r="397" ht="12.75" customHeight="1">
      <c r="A397" s="1"/>
      <c r="B397" s="1"/>
      <c r="L397" s="72"/>
      <c r="S397" s="72"/>
      <c r="T397" s="72"/>
      <c r="U397" s="81"/>
      <c r="V397" s="81"/>
      <c r="AA397" s="2"/>
    </row>
    <row r="398" ht="12.75" customHeight="1">
      <c r="A398" s="1"/>
      <c r="B398" s="1"/>
      <c r="L398" s="72"/>
      <c r="S398" s="72"/>
      <c r="T398" s="72"/>
      <c r="U398" s="81"/>
      <c r="V398" s="81"/>
      <c r="AA398" s="2"/>
    </row>
    <row r="399" ht="12.75" customHeight="1">
      <c r="A399" s="1"/>
      <c r="B399" s="1"/>
      <c r="L399" s="72"/>
      <c r="S399" s="72"/>
      <c r="T399" s="72"/>
      <c r="U399" s="81"/>
      <c r="V399" s="81"/>
      <c r="AA399" s="2"/>
    </row>
    <row r="400" ht="12.75" customHeight="1">
      <c r="A400" s="1"/>
      <c r="B400" s="1"/>
      <c r="L400" s="72"/>
      <c r="S400" s="72"/>
      <c r="T400" s="72"/>
      <c r="U400" s="81"/>
      <c r="V400" s="81"/>
      <c r="AA400" s="2"/>
    </row>
    <row r="401" ht="12.75" customHeight="1">
      <c r="A401" s="1"/>
      <c r="B401" s="1"/>
      <c r="L401" s="72"/>
      <c r="S401" s="72"/>
      <c r="T401" s="72"/>
      <c r="U401" s="81"/>
      <c r="V401" s="81"/>
      <c r="AA401" s="2"/>
    </row>
    <row r="402" ht="12.75" customHeight="1">
      <c r="A402" s="1"/>
      <c r="B402" s="1"/>
      <c r="L402" s="72"/>
      <c r="S402" s="72"/>
      <c r="T402" s="72"/>
      <c r="U402" s="81"/>
      <c r="V402" s="81"/>
      <c r="AA402" s="2"/>
    </row>
    <row r="403" ht="12.75" customHeight="1">
      <c r="A403" s="1"/>
      <c r="B403" s="1"/>
      <c r="L403" s="72"/>
      <c r="S403" s="72"/>
      <c r="T403" s="72"/>
      <c r="U403" s="81"/>
      <c r="V403" s="81"/>
      <c r="AA403" s="2"/>
    </row>
    <row r="404" ht="12.75" customHeight="1">
      <c r="A404" s="1"/>
      <c r="B404" s="1"/>
      <c r="L404" s="72"/>
      <c r="S404" s="72"/>
      <c r="T404" s="72"/>
      <c r="U404" s="81"/>
      <c r="V404" s="81"/>
      <c r="AA404" s="2"/>
    </row>
    <row r="405" ht="12.75" customHeight="1">
      <c r="A405" s="1"/>
      <c r="B405" s="1"/>
      <c r="L405" s="72"/>
      <c r="S405" s="72"/>
      <c r="T405" s="72"/>
      <c r="U405" s="81"/>
      <c r="V405" s="81"/>
      <c r="AA405" s="2"/>
    </row>
    <row r="406" ht="12.75" customHeight="1">
      <c r="A406" s="1"/>
      <c r="B406" s="1"/>
      <c r="L406" s="72"/>
      <c r="S406" s="72"/>
      <c r="T406" s="72"/>
      <c r="U406" s="81"/>
      <c r="V406" s="81"/>
      <c r="AA406" s="2"/>
    </row>
    <row r="407" ht="12.75" customHeight="1">
      <c r="A407" s="1"/>
      <c r="B407" s="1"/>
      <c r="L407" s="72"/>
      <c r="S407" s="72"/>
      <c r="T407" s="72"/>
      <c r="U407" s="81"/>
      <c r="V407" s="81"/>
      <c r="AA407" s="2"/>
    </row>
    <row r="408" ht="12.75" customHeight="1">
      <c r="A408" s="1"/>
      <c r="B408" s="1"/>
      <c r="L408" s="72"/>
      <c r="S408" s="72"/>
      <c r="T408" s="72"/>
      <c r="U408" s="81"/>
      <c r="V408" s="81"/>
      <c r="AA408" s="2"/>
    </row>
    <row r="409" ht="12.75" customHeight="1">
      <c r="A409" s="1"/>
      <c r="B409" s="1"/>
      <c r="L409" s="72"/>
      <c r="S409" s="72"/>
      <c r="T409" s="72"/>
      <c r="U409" s="81"/>
      <c r="V409" s="81"/>
      <c r="AA409" s="2"/>
    </row>
    <row r="410" ht="12.75" customHeight="1">
      <c r="A410" s="1"/>
      <c r="B410" s="1"/>
      <c r="L410" s="72"/>
      <c r="S410" s="72"/>
      <c r="T410" s="72"/>
      <c r="U410" s="81"/>
      <c r="V410" s="81"/>
      <c r="AA410" s="2"/>
    </row>
    <row r="411" ht="12.75" customHeight="1">
      <c r="A411" s="1"/>
      <c r="B411" s="1"/>
      <c r="L411" s="72"/>
      <c r="S411" s="72"/>
      <c r="T411" s="72"/>
      <c r="U411" s="81"/>
      <c r="V411" s="81"/>
      <c r="AA411" s="2"/>
    </row>
    <row r="412" ht="12.75" customHeight="1">
      <c r="A412" s="1"/>
      <c r="B412" s="1"/>
      <c r="L412" s="72"/>
      <c r="S412" s="72"/>
      <c r="T412" s="72"/>
      <c r="U412" s="81"/>
      <c r="V412" s="81"/>
      <c r="AA412" s="2"/>
    </row>
    <row r="413" ht="12.75" customHeight="1">
      <c r="A413" s="1"/>
      <c r="B413" s="1"/>
      <c r="L413" s="72"/>
      <c r="S413" s="72"/>
      <c r="T413" s="72"/>
      <c r="U413" s="81"/>
      <c r="V413" s="81"/>
      <c r="AA413" s="2"/>
    </row>
    <row r="414" ht="12.75" customHeight="1">
      <c r="A414" s="1"/>
      <c r="B414" s="1"/>
      <c r="L414" s="72"/>
      <c r="S414" s="72"/>
      <c r="T414" s="72"/>
      <c r="U414" s="81"/>
      <c r="V414" s="81"/>
      <c r="AA414" s="2"/>
    </row>
    <row r="415" ht="12.75" customHeight="1">
      <c r="A415" s="1"/>
      <c r="B415" s="1"/>
      <c r="L415" s="72"/>
      <c r="S415" s="72"/>
      <c r="T415" s="72"/>
      <c r="U415" s="81"/>
      <c r="V415" s="81"/>
      <c r="AA415" s="2"/>
    </row>
    <row r="416" ht="12.75" customHeight="1">
      <c r="A416" s="1"/>
      <c r="B416" s="1"/>
      <c r="L416" s="72"/>
      <c r="S416" s="72"/>
      <c r="T416" s="72"/>
      <c r="U416" s="81"/>
      <c r="V416" s="81"/>
      <c r="AA416" s="2"/>
    </row>
    <row r="417" ht="12.75" customHeight="1">
      <c r="A417" s="1"/>
      <c r="B417" s="1"/>
      <c r="L417" s="72"/>
      <c r="S417" s="72"/>
      <c r="T417" s="72"/>
      <c r="U417" s="81"/>
      <c r="V417" s="81"/>
      <c r="AA417" s="2"/>
    </row>
    <row r="418" ht="12.75" customHeight="1">
      <c r="A418" s="1"/>
      <c r="B418" s="1"/>
      <c r="L418" s="72"/>
      <c r="S418" s="72"/>
      <c r="T418" s="72"/>
      <c r="U418" s="81"/>
      <c r="V418" s="81"/>
      <c r="AA418" s="2"/>
    </row>
    <row r="419" ht="12.75" customHeight="1">
      <c r="A419" s="1"/>
      <c r="B419" s="1"/>
      <c r="L419" s="72"/>
      <c r="S419" s="72"/>
      <c r="T419" s="72"/>
      <c r="U419" s="81"/>
      <c r="V419" s="81"/>
      <c r="AA419" s="2"/>
    </row>
    <row r="420" ht="12.75" customHeight="1">
      <c r="A420" s="1"/>
      <c r="B420" s="1"/>
      <c r="L420" s="72"/>
      <c r="S420" s="72"/>
      <c r="T420" s="72"/>
      <c r="U420" s="81"/>
      <c r="V420" s="81"/>
      <c r="AA420" s="2"/>
    </row>
    <row r="421" ht="12.75" customHeight="1">
      <c r="A421" s="1"/>
      <c r="B421" s="1"/>
      <c r="L421" s="72"/>
      <c r="S421" s="72"/>
      <c r="T421" s="72"/>
      <c r="U421" s="81"/>
      <c r="V421" s="81"/>
      <c r="AA421" s="2"/>
    </row>
    <row r="422" ht="12.75" customHeight="1">
      <c r="A422" s="1"/>
      <c r="B422" s="1"/>
      <c r="L422" s="72"/>
      <c r="S422" s="72"/>
      <c r="T422" s="72"/>
      <c r="U422" s="81"/>
      <c r="V422" s="81"/>
      <c r="AA422" s="2"/>
    </row>
    <row r="423" ht="12.75" customHeight="1">
      <c r="A423" s="1"/>
      <c r="B423" s="1"/>
      <c r="L423" s="72"/>
      <c r="S423" s="72"/>
      <c r="T423" s="72"/>
      <c r="U423" s="81"/>
      <c r="V423" s="81"/>
      <c r="AA423" s="2"/>
    </row>
    <row r="424" ht="12.75" customHeight="1">
      <c r="A424" s="1"/>
      <c r="B424" s="1"/>
      <c r="L424" s="72"/>
      <c r="S424" s="72"/>
      <c r="T424" s="72"/>
      <c r="U424" s="81"/>
      <c r="V424" s="81"/>
      <c r="AA424" s="2"/>
    </row>
    <row r="425" ht="12.75" customHeight="1">
      <c r="A425" s="1"/>
      <c r="B425" s="1"/>
      <c r="L425" s="72"/>
      <c r="S425" s="72"/>
      <c r="T425" s="72"/>
      <c r="U425" s="81"/>
      <c r="V425" s="81"/>
      <c r="AA425" s="2"/>
    </row>
    <row r="426" ht="12.75" customHeight="1">
      <c r="A426" s="1"/>
      <c r="B426" s="1"/>
      <c r="L426" s="72"/>
      <c r="S426" s="72"/>
      <c r="T426" s="72"/>
      <c r="U426" s="81"/>
      <c r="V426" s="81"/>
      <c r="AA426" s="2"/>
    </row>
    <row r="427" ht="12.75" customHeight="1">
      <c r="A427" s="1"/>
      <c r="B427" s="1"/>
      <c r="L427" s="72"/>
      <c r="S427" s="72"/>
      <c r="T427" s="72"/>
      <c r="U427" s="81"/>
      <c r="V427" s="81"/>
      <c r="AA427" s="2"/>
    </row>
    <row r="428" ht="12.75" customHeight="1">
      <c r="A428" s="1"/>
      <c r="B428" s="1"/>
      <c r="L428" s="72"/>
      <c r="S428" s="72"/>
      <c r="T428" s="72"/>
      <c r="U428" s="81"/>
      <c r="V428" s="81"/>
      <c r="AA428" s="2"/>
    </row>
    <row r="429" ht="12.75" customHeight="1">
      <c r="A429" s="1"/>
      <c r="B429" s="1"/>
      <c r="L429" s="72"/>
      <c r="S429" s="72"/>
      <c r="T429" s="72"/>
      <c r="U429" s="81"/>
      <c r="V429" s="81"/>
      <c r="AA429" s="2"/>
    </row>
    <row r="430" ht="12.75" customHeight="1">
      <c r="A430" s="1"/>
      <c r="B430" s="1"/>
      <c r="L430" s="72"/>
      <c r="S430" s="72"/>
      <c r="T430" s="72"/>
      <c r="U430" s="81"/>
      <c r="V430" s="81"/>
      <c r="AA430" s="2"/>
    </row>
    <row r="431" ht="12.75" customHeight="1">
      <c r="A431" s="1"/>
      <c r="B431" s="1"/>
      <c r="L431" s="72"/>
      <c r="S431" s="72"/>
      <c r="T431" s="72"/>
      <c r="U431" s="81"/>
      <c r="V431" s="81"/>
      <c r="AA431" s="2"/>
    </row>
    <row r="432" ht="12.75" customHeight="1">
      <c r="A432" s="1"/>
      <c r="B432" s="1"/>
      <c r="L432" s="72"/>
      <c r="S432" s="72"/>
      <c r="T432" s="72"/>
      <c r="U432" s="81"/>
      <c r="V432" s="81"/>
      <c r="AA432" s="2"/>
    </row>
    <row r="433" ht="12.75" customHeight="1">
      <c r="A433" s="1"/>
      <c r="B433" s="1"/>
      <c r="L433" s="72"/>
      <c r="S433" s="72"/>
      <c r="T433" s="72"/>
      <c r="U433" s="81"/>
      <c r="V433" s="81"/>
      <c r="AA433" s="2"/>
    </row>
    <row r="434" ht="12.75" customHeight="1">
      <c r="A434" s="1"/>
      <c r="B434" s="1"/>
      <c r="L434" s="72"/>
      <c r="S434" s="72"/>
      <c r="T434" s="72"/>
      <c r="U434" s="81"/>
      <c r="V434" s="81"/>
      <c r="AA434" s="2"/>
    </row>
    <row r="435" ht="12.75" customHeight="1">
      <c r="A435" s="1"/>
      <c r="B435" s="1"/>
      <c r="L435" s="72"/>
      <c r="S435" s="72"/>
      <c r="T435" s="72"/>
      <c r="U435" s="81"/>
      <c r="V435" s="81"/>
      <c r="AA435" s="2"/>
    </row>
    <row r="436" ht="12.75" customHeight="1">
      <c r="A436" s="1"/>
      <c r="B436" s="1"/>
      <c r="L436" s="72"/>
      <c r="S436" s="72"/>
      <c r="T436" s="72"/>
      <c r="U436" s="81"/>
      <c r="V436" s="81"/>
      <c r="AA436" s="2"/>
    </row>
    <row r="437" ht="12.75" customHeight="1">
      <c r="A437" s="1"/>
      <c r="B437" s="1"/>
      <c r="L437" s="72"/>
      <c r="S437" s="72"/>
      <c r="T437" s="72"/>
      <c r="U437" s="81"/>
      <c r="V437" s="81"/>
      <c r="AA437" s="2"/>
    </row>
    <row r="438" ht="12.75" customHeight="1">
      <c r="A438" s="1"/>
      <c r="B438" s="1"/>
      <c r="L438" s="72"/>
      <c r="S438" s="72"/>
      <c r="T438" s="72"/>
      <c r="U438" s="81"/>
      <c r="V438" s="81"/>
      <c r="AA438" s="2"/>
    </row>
    <row r="439" ht="12.75" customHeight="1">
      <c r="A439" s="1"/>
      <c r="B439" s="1"/>
      <c r="L439" s="72"/>
      <c r="S439" s="72"/>
      <c r="T439" s="72"/>
      <c r="U439" s="81"/>
      <c r="V439" s="81"/>
      <c r="AA439" s="2"/>
    </row>
    <row r="440" ht="12.75" customHeight="1">
      <c r="A440" s="1"/>
      <c r="B440" s="1"/>
      <c r="L440" s="72"/>
      <c r="S440" s="72"/>
      <c r="T440" s="72"/>
      <c r="U440" s="81"/>
      <c r="V440" s="81"/>
      <c r="AA440" s="2"/>
    </row>
    <row r="441" ht="12.75" customHeight="1">
      <c r="A441" s="1"/>
      <c r="B441" s="1"/>
      <c r="L441" s="72"/>
      <c r="S441" s="72"/>
      <c r="T441" s="72"/>
      <c r="U441" s="81"/>
      <c r="V441" s="81"/>
      <c r="AA441" s="2"/>
    </row>
    <row r="442" ht="12.75" customHeight="1">
      <c r="A442" s="1"/>
      <c r="B442" s="1"/>
      <c r="L442" s="72"/>
      <c r="S442" s="72"/>
      <c r="T442" s="72"/>
      <c r="U442" s="81"/>
      <c r="V442" s="81"/>
      <c r="AA442" s="2"/>
    </row>
    <row r="443" ht="12.75" customHeight="1">
      <c r="A443" s="1"/>
      <c r="B443" s="1"/>
      <c r="L443" s="72"/>
      <c r="S443" s="72"/>
      <c r="T443" s="72"/>
      <c r="U443" s="81"/>
      <c r="V443" s="81"/>
      <c r="AA443" s="2"/>
    </row>
    <row r="444" ht="12.75" customHeight="1">
      <c r="A444" s="1"/>
      <c r="B444" s="1"/>
      <c r="L444" s="72"/>
      <c r="S444" s="72"/>
      <c r="T444" s="72"/>
      <c r="U444" s="81"/>
      <c r="V444" s="81"/>
      <c r="AA444" s="2"/>
    </row>
    <row r="445" ht="12.75" customHeight="1">
      <c r="A445" s="1"/>
      <c r="B445" s="1"/>
      <c r="L445" s="72"/>
      <c r="S445" s="72"/>
      <c r="T445" s="72"/>
      <c r="U445" s="81"/>
      <c r="V445" s="81"/>
      <c r="AA445" s="2"/>
    </row>
    <row r="446" ht="12.75" customHeight="1">
      <c r="A446" s="1"/>
      <c r="B446" s="1"/>
      <c r="L446" s="72"/>
      <c r="S446" s="72"/>
      <c r="T446" s="72"/>
      <c r="U446" s="81"/>
      <c r="V446" s="81"/>
      <c r="AA446" s="2"/>
    </row>
    <row r="447" ht="12.75" customHeight="1">
      <c r="A447" s="1"/>
      <c r="B447" s="1"/>
      <c r="L447" s="72"/>
      <c r="S447" s="72"/>
      <c r="T447" s="72"/>
      <c r="U447" s="81"/>
      <c r="V447" s="81"/>
      <c r="AA447" s="2"/>
    </row>
    <row r="448" ht="12.75" customHeight="1">
      <c r="A448" s="1"/>
      <c r="B448" s="1"/>
      <c r="L448" s="72"/>
      <c r="S448" s="72"/>
      <c r="T448" s="72"/>
      <c r="U448" s="81"/>
      <c r="V448" s="81"/>
      <c r="AA448" s="2"/>
    </row>
    <row r="449" ht="12.75" customHeight="1">
      <c r="A449" s="1"/>
      <c r="B449" s="1"/>
      <c r="L449" s="72"/>
      <c r="S449" s="72"/>
      <c r="T449" s="72"/>
      <c r="U449" s="81"/>
      <c r="V449" s="81"/>
      <c r="AA449" s="2"/>
    </row>
    <row r="450" ht="12.75" customHeight="1">
      <c r="A450" s="1"/>
      <c r="B450" s="1"/>
      <c r="L450" s="72"/>
      <c r="S450" s="72"/>
      <c r="T450" s="72"/>
      <c r="U450" s="81"/>
      <c r="V450" s="81"/>
      <c r="AA450" s="2"/>
    </row>
    <row r="451" ht="12.75" customHeight="1">
      <c r="A451" s="1"/>
      <c r="B451" s="1"/>
      <c r="L451" s="72"/>
      <c r="S451" s="72"/>
      <c r="T451" s="72"/>
      <c r="U451" s="81"/>
      <c r="V451" s="81"/>
      <c r="AA451" s="2"/>
    </row>
    <row r="452" ht="12.75" customHeight="1">
      <c r="A452" s="1"/>
      <c r="B452" s="1"/>
      <c r="L452" s="72"/>
      <c r="S452" s="72"/>
      <c r="T452" s="72"/>
      <c r="U452" s="81"/>
      <c r="V452" s="81"/>
      <c r="AA452" s="2"/>
    </row>
    <row r="453" ht="12.75" customHeight="1">
      <c r="A453" s="1"/>
      <c r="B453" s="1"/>
      <c r="L453" s="72"/>
      <c r="S453" s="72"/>
      <c r="T453" s="72"/>
      <c r="U453" s="81"/>
      <c r="V453" s="81"/>
      <c r="AA453" s="2"/>
    </row>
    <row r="454" ht="12.75" customHeight="1">
      <c r="A454" s="1"/>
      <c r="B454" s="1"/>
      <c r="L454" s="72"/>
      <c r="S454" s="72"/>
      <c r="T454" s="72"/>
      <c r="U454" s="81"/>
      <c r="V454" s="81"/>
      <c r="AA454" s="2"/>
    </row>
    <row r="455" ht="12.75" customHeight="1">
      <c r="A455" s="1"/>
      <c r="B455" s="1"/>
      <c r="L455" s="72"/>
      <c r="S455" s="72"/>
      <c r="T455" s="72"/>
      <c r="U455" s="81"/>
      <c r="V455" s="81"/>
      <c r="AA455" s="2"/>
    </row>
    <row r="456" ht="12.75" customHeight="1">
      <c r="A456" s="1"/>
      <c r="B456" s="1"/>
      <c r="L456" s="72"/>
      <c r="S456" s="72"/>
      <c r="T456" s="72"/>
      <c r="U456" s="81"/>
      <c r="V456" s="81"/>
      <c r="AA456" s="2"/>
    </row>
    <row r="457" ht="12.75" customHeight="1">
      <c r="A457" s="1"/>
      <c r="B457" s="1"/>
      <c r="L457" s="72"/>
      <c r="S457" s="72"/>
      <c r="T457" s="72"/>
      <c r="U457" s="81"/>
      <c r="V457" s="81"/>
      <c r="AA457" s="2"/>
    </row>
    <row r="458" ht="12.75" customHeight="1">
      <c r="A458" s="1"/>
      <c r="B458" s="1"/>
      <c r="L458" s="72"/>
      <c r="S458" s="72"/>
      <c r="T458" s="72"/>
      <c r="U458" s="81"/>
      <c r="V458" s="81"/>
      <c r="AA458" s="2"/>
    </row>
    <row r="459" ht="12.75" customHeight="1">
      <c r="A459" s="1"/>
      <c r="B459" s="1"/>
      <c r="L459" s="72"/>
      <c r="S459" s="72"/>
      <c r="T459" s="72"/>
      <c r="U459" s="81"/>
      <c r="V459" s="81"/>
      <c r="AA459" s="2"/>
    </row>
    <row r="460" ht="12.75" customHeight="1">
      <c r="A460" s="1"/>
      <c r="B460" s="1"/>
      <c r="L460" s="72"/>
      <c r="S460" s="72"/>
      <c r="T460" s="72"/>
      <c r="U460" s="81"/>
      <c r="V460" s="81"/>
      <c r="AA460" s="2"/>
    </row>
    <row r="461" ht="12.75" customHeight="1">
      <c r="A461" s="1"/>
      <c r="B461" s="1"/>
      <c r="L461" s="72"/>
      <c r="S461" s="72"/>
      <c r="T461" s="72"/>
      <c r="U461" s="81"/>
      <c r="V461" s="81"/>
      <c r="AA461" s="2"/>
    </row>
    <row r="462" ht="12.75" customHeight="1">
      <c r="A462" s="1"/>
      <c r="B462" s="1"/>
      <c r="L462" s="72"/>
      <c r="S462" s="72"/>
      <c r="T462" s="72"/>
      <c r="U462" s="81"/>
      <c r="V462" s="81"/>
      <c r="AA462" s="2"/>
    </row>
    <row r="463" ht="12.75" customHeight="1">
      <c r="A463" s="1"/>
      <c r="B463" s="1"/>
      <c r="L463" s="72"/>
      <c r="S463" s="72"/>
      <c r="T463" s="72"/>
      <c r="U463" s="81"/>
      <c r="V463" s="81"/>
      <c r="AA463" s="2"/>
    </row>
    <row r="464" ht="12.75" customHeight="1">
      <c r="A464" s="1"/>
      <c r="B464" s="1"/>
      <c r="L464" s="72"/>
      <c r="S464" s="72"/>
      <c r="T464" s="72"/>
      <c r="U464" s="81"/>
      <c r="V464" s="81"/>
      <c r="AA464" s="2"/>
    </row>
    <row r="465" ht="12.75" customHeight="1">
      <c r="A465" s="1"/>
      <c r="B465" s="1"/>
      <c r="L465" s="72"/>
      <c r="S465" s="72"/>
      <c r="T465" s="72"/>
      <c r="U465" s="81"/>
      <c r="V465" s="81"/>
      <c r="AA465" s="2"/>
    </row>
    <row r="466" ht="12.75" customHeight="1">
      <c r="A466" s="1"/>
      <c r="B466" s="1"/>
      <c r="L466" s="72"/>
      <c r="S466" s="72"/>
      <c r="T466" s="72"/>
      <c r="U466" s="81"/>
      <c r="V466" s="81"/>
      <c r="AA466" s="2"/>
    </row>
    <row r="467" ht="12.75" customHeight="1">
      <c r="A467" s="1"/>
      <c r="B467" s="1"/>
      <c r="L467" s="72"/>
      <c r="S467" s="72"/>
      <c r="T467" s="72"/>
      <c r="U467" s="81"/>
      <c r="V467" s="81"/>
      <c r="AA467" s="2"/>
    </row>
    <row r="468" ht="12.75" customHeight="1">
      <c r="A468" s="1"/>
      <c r="B468" s="1"/>
      <c r="L468" s="72"/>
      <c r="S468" s="72"/>
      <c r="T468" s="72"/>
      <c r="U468" s="81"/>
      <c r="V468" s="81"/>
      <c r="AA468" s="2"/>
    </row>
    <row r="469" ht="12.75" customHeight="1">
      <c r="A469" s="1"/>
      <c r="B469" s="1"/>
      <c r="L469" s="72"/>
      <c r="S469" s="72"/>
      <c r="T469" s="72"/>
      <c r="U469" s="81"/>
      <c r="V469" s="81"/>
      <c r="AA469" s="2"/>
    </row>
    <row r="470" ht="12.75" customHeight="1">
      <c r="A470" s="1"/>
      <c r="B470" s="1"/>
      <c r="L470" s="72"/>
      <c r="S470" s="72"/>
      <c r="T470" s="72"/>
      <c r="U470" s="81"/>
      <c r="V470" s="81"/>
      <c r="AA470" s="2"/>
    </row>
    <row r="471" ht="12.75" customHeight="1">
      <c r="A471" s="1"/>
      <c r="B471" s="1"/>
      <c r="L471" s="72"/>
      <c r="S471" s="72"/>
      <c r="T471" s="72"/>
      <c r="U471" s="81"/>
      <c r="V471" s="81"/>
      <c r="AA471" s="2"/>
    </row>
    <row r="472" ht="12.75" customHeight="1">
      <c r="A472" s="1"/>
      <c r="B472" s="1"/>
      <c r="L472" s="72"/>
      <c r="S472" s="72"/>
      <c r="T472" s="72"/>
      <c r="U472" s="81"/>
      <c r="V472" s="81"/>
      <c r="AA472" s="2"/>
    </row>
    <row r="473" ht="12.75" customHeight="1">
      <c r="A473" s="1"/>
      <c r="B473" s="1"/>
      <c r="L473" s="72"/>
      <c r="S473" s="72"/>
      <c r="T473" s="72"/>
      <c r="U473" s="81"/>
      <c r="V473" s="81"/>
      <c r="AA473" s="2"/>
    </row>
    <row r="474" ht="12.75" customHeight="1">
      <c r="A474" s="1"/>
      <c r="B474" s="1"/>
      <c r="L474" s="72"/>
      <c r="S474" s="72"/>
      <c r="T474" s="72"/>
      <c r="U474" s="81"/>
      <c r="V474" s="81"/>
      <c r="AA474" s="2"/>
    </row>
    <row r="475" ht="12.75" customHeight="1">
      <c r="A475" s="1"/>
      <c r="B475" s="1"/>
      <c r="L475" s="72"/>
      <c r="S475" s="72"/>
      <c r="T475" s="72"/>
      <c r="U475" s="81"/>
      <c r="V475" s="81"/>
      <c r="AA475" s="2"/>
    </row>
    <row r="476" ht="12.75" customHeight="1">
      <c r="A476" s="1"/>
      <c r="B476" s="1"/>
      <c r="L476" s="72"/>
      <c r="S476" s="72"/>
      <c r="T476" s="72"/>
      <c r="U476" s="81"/>
      <c r="V476" s="81"/>
      <c r="AA476" s="2"/>
    </row>
    <row r="477" ht="12.75" customHeight="1">
      <c r="A477" s="1"/>
      <c r="B477" s="1"/>
      <c r="L477" s="72"/>
      <c r="S477" s="72"/>
      <c r="T477" s="72"/>
      <c r="U477" s="81"/>
      <c r="V477" s="81"/>
      <c r="AA477" s="2"/>
    </row>
    <row r="478" ht="12.75" customHeight="1">
      <c r="A478" s="1"/>
      <c r="B478" s="1"/>
      <c r="L478" s="72"/>
      <c r="S478" s="72"/>
      <c r="T478" s="72"/>
      <c r="U478" s="81"/>
      <c r="V478" s="81"/>
      <c r="AA478" s="2"/>
    </row>
    <row r="479" ht="12.75" customHeight="1">
      <c r="A479" s="1"/>
      <c r="B479" s="1"/>
      <c r="L479" s="72"/>
      <c r="S479" s="72"/>
      <c r="T479" s="72"/>
      <c r="U479" s="81"/>
      <c r="V479" s="81"/>
      <c r="AA479" s="2"/>
    </row>
    <row r="480" ht="12.75" customHeight="1">
      <c r="A480" s="1"/>
      <c r="B480" s="1"/>
      <c r="L480" s="72"/>
      <c r="S480" s="72"/>
      <c r="T480" s="72"/>
      <c r="U480" s="81"/>
      <c r="V480" s="81"/>
      <c r="AA480" s="2"/>
    </row>
    <row r="481" ht="12.75" customHeight="1">
      <c r="A481" s="1"/>
      <c r="B481" s="1"/>
      <c r="L481" s="72"/>
      <c r="S481" s="72"/>
      <c r="T481" s="72"/>
      <c r="U481" s="81"/>
      <c r="V481" s="81"/>
      <c r="AA481" s="2"/>
    </row>
    <row r="482" ht="12.75" customHeight="1">
      <c r="A482" s="1"/>
      <c r="B482" s="1"/>
      <c r="L482" s="72"/>
      <c r="S482" s="72"/>
      <c r="T482" s="72"/>
      <c r="U482" s="81"/>
      <c r="V482" s="81"/>
      <c r="AA482" s="2"/>
    </row>
    <row r="483" ht="12.75" customHeight="1">
      <c r="A483" s="1"/>
      <c r="B483" s="1"/>
      <c r="L483" s="72"/>
      <c r="S483" s="72"/>
      <c r="T483" s="72"/>
      <c r="U483" s="81"/>
      <c r="V483" s="81"/>
      <c r="AA483" s="2"/>
    </row>
    <row r="484" ht="12.75" customHeight="1">
      <c r="A484" s="1"/>
      <c r="B484" s="1"/>
      <c r="L484" s="72"/>
      <c r="S484" s="72"/>
      <c r="T484" s="72"/>
      <c r="U484" s="81"/>
      <c r="V484" s="81"/>
      <c r="AA484" s="2"/>
    </row>
    <row r="485" ht="12.75" customHeight="1">
      <c r="A485" s="1"/>
      <c r="B485" s="1"/>
      <c r="L485" s="72"/>
      <c r="S485" s="72"/>
      <c r="T485" s="72"/>
      <c r="U485" s="81"/>
      <c r="V485" s="81"/>
      <c r="AA485" s="2"/>
    </row>
    <row r="486" ht="12.75" customHeight="1">
      <c r="A486" s="1"/>
      <c r="B486" s="1"/>
      <c r="L486" s="72"/>
      <c r="S486" s="72"/>
      <c r="T486" s="72"/>
      <c r="U486" s="81"/>
      <c r="V486" s="81"/>
      <c r="AA486" s="2"/>
    </row>
    <row r="487" ht="12.75" customHeight="1">
      <c r="A487" s="1"/>
      <c r="B487" s="1"/>
      <c r="L487" s="72"/>
      <c r="S487" s="72"/>
      <c r="T487" s="72"/>
      <c r="U487" s="81"/>
      <c r="V487" s="81"/>
      <c r="AA487" s="2"/>
    </row>
    <row r="488" ht="12.75" customHeight="1">
      <c r="A488" s="1"/>
      <c r="B488" s="1"/>
      <c r="L488" s="72"/>
      <c r="S488" s="72"/>
      <c r="T488" s="72"/>
      <c r="U488" s="81"/>
      <c r="V488" s="81"/>
      <c r="AA488" s="2"/>
    </row>
    <row r="489" ht="12.75" customHeight="1">
      <c r="A489" s="1"/>
      <c r="B489" s="1"/>
      <c r="L489" s="72"/>
      <c r="S489" s="72"/>
      <c r="T489" s="72"/>
      <c r="U489" s="81"/>
      <c r="V489" s="81"/>
      <c r="AA489" s="2"/>
    </row>
    <row r="490" ht="12.75" customHeight="1">
      <c r="A490" s="1"/>
      <c r="B490" s="1"/>
      <c r="L490" s="72"/>
      <c r="S490" s="72"/>
      <c r="T490" s="72"/>
      <c r="U490" s="81"/>
      <c r="V490" s="81"/>
      <c r="AA490" s="2"/>
    </row>
    <row r="491" ht="12.75" customHeight="1">
      <c r="A491" s="1"/>
      <c r="B491" s="1"/>
      <c r="L491" s="72"/>
      <c r="S491" s="72"/>
      <c r="T491" s="72"/>
      <c r="U491" s="81"/>
      <c r="V491" s="81"/>
      <c r="AA491" s="2"/>
    </row>
    <row r="492" ht="12.75" customHeight="1">
      <c r="A492" s="1"/>
      <c r="B492" s="1"/>
      <c r="L492" s="72"/>
      <c r="S492" s="72"/>
      <c r="T492" s="72"/>
      <c r="U492" s="81"/>
      <c r="V492" s="81"/>
      <c r="AA492" s="2"/>
    </row>
    <row r="493" ht="12.75" customHeight="1">
      <c r="A493" s="1"/>
      <c r="B493" s="1"/>
      <c r="L493" s="72"/>
      <c r="S493" s="72"/>
      <c r="T493" s="72"/>
      <c r="U493" s="81"/>
      <c r="V493" s="81"/>
      <c r="AA493" s="2"/>
    </row>
    <row r="494" ht="12.75" customHeight="1">
      <c r="A494" s="1"/>
      <c r="B494" s="1"/>
      <c r="L494" s="72"/>
      <c r="S494" s="72"/>
      <c r="T494" s="72"/>
      <c r="U494" s="81"/>
      <c r="V494" s="81"/>
      <c r="AA494" s="2"/>
    </row>
    <row r="495" ht="12.75" customHeight="1">
      <c r="A495" s="1"/>
      <c r="B495" s="1"/>
      <c r="L495" s="72"/>
      <c r="S495" s="72"/>
      <c r="T495" s="72"/>
      <c r="U495" s="81"/>
      <c r="V495" s="81"/>
      <c r="AA495" s="2"/>
    </row>
    <row r="496" ht="12.75" customHeight="1">
      <c r="A496" s="1"/>
      <c r="B496" s="1"/>
      <c r="L496" s="72"/>
      <c r="S496" s="72"/>
      <c r="T496" s="72"/>
      <c r="U496" s="81"/>
      <c r="V496" s="81"/>
      <c r="AA496" s="2"/>
    </row>
    <row r="497" ht="12.75" customHeight="1">
      <c r="A497" s="1"/>
      <c r="B497" s="1"/>
      <c r="L497" s="72"/>
      <c r="S497" s="72"/>
      <c r="T497" s="72"/>
      <c r="U497" s="81"/>
      <c r="V497" s="81"/>
      <c r="AA497" s="2"/>
    </row>
    <row r="498" ht="12.75" customHeight="1">
      <c r="A498" s="1"/>
      <c r="B498" s="1"/>
      <c r="L498" s="72"/>
      <c r="S498" s="72"/>
      <c r="T498" s="72"/>
      <c r="U498" s="81"/>
      <c r="V498" s="81"/>
      <c r="AA498" s="2"/>
    </row>
    <row r="499" ht="12.75" customHeight="1">
      <c r="A499" s="1"/>
      <c r="B499" s="1"/>
      <c r="L499" s="72"/>
      <c r="S499" s="72"/>
      <c r="T499" s="72"/>
      <c r="U499" s="81"/>
      <c r="V499" s="81"/>
      <c r="AA499" s="2"/>
    </row>
    <row r="500" ht="12.75" customHeight="1">
      <c r="A500" s="1"/>
      <c r="B500" s="1"/>
      <c r="L500" s="72"/>
      <c r="S500" s="72"/>
      <c r="T500" s="72"/>
      <c r="U500" s="81"/>
      <c r="V500" s="81"/>
      <c r="AA500" s="2"/>
    </row>
    <row r="501" ht="12.75" customHeight="1">
      <c r="A501" s="1"/>
      <c r="B501" s="1"/>
      <c r="L501" s="72"/>
      <c r="S501" s="72"/>
      <c r="T501" s="72"/>
      <c r="U501" s="81"/>
      <c r="V501" s="81"/>
      <c r="AA501" s="2"/>
    </row>
    <row r="502" ht="12.75" customHeight="1">
      <c r="A502" s="1"/>
      <c r="B502" s="1"/>
      <c r="L502" s="72"/>
      <c r="S502" s="72"/>
      <c r="T502" s="72"/>
      <c r="U502" s="81"/>
      <c r="V502" s="81"/>
      <c r="AA502" s="2"/>
    </row>
    <row r="503" ht="12.75" customHeight="1">
      <c r="A503" s="1"/>
      <c r="B503" s="1"/>
      <c r="L503" s="72"/>
      <c r="S503" s="72"/>
      <c r="T503" s="72"/>
      <c r="U503" s="81"/>
      <c r="V503" s="81"/>
      <c r="AA503" s="2"/>
    </row>
    <row r="504" ht="12.75" customHeight="1">
      <c r="A504" s="1"/>
      <c r="B504" s="1"/>
      <c r="L504" s="72"/>
      <c r="S504" s="72"/>
      <c r="T504" s="72"/>
      <c r="U504" s="81"/>
      <c r="V504" s="81"/>
      <c r="AA504" s="2"/>
    </row>
    <row r="505" ht="12.75" customHeight="1">
      <c r="A505" s="1"/>
      <c r="B505" s="1"/>
      <c r="L505" s="72"/>
      <c r="S505" s="72"/>
      <c r="T505" s="72"/>
      <c r="U505" s="81"/>
      <c r="V505" s="81"/>
      <c r="AA505" s="2"/>
    </row>
    <row r="506" ht="12.75" customHeight="1">
      <c r="A506" s="1"/>
      <c r="B506" s="1"/>
      <c r="L506" s="72"/>
      <c r="S506" s="72"/>
      <c r="T506" s="72"/>
      <c r="U506" s="81"/>
      <c r="V506" s="81"/>
      <c r="AA506" s="2"/>
    </row>
    <row r="507" ht="12.75" customHeight="1">
      <c r="A507" s="1"/>
      <c r="B507" s="1"/>
      <c r="L507" s="72"/>
      <c r="S507" s="72"/>
      <c r="T507" s="72"/>
      <c r="U507" s="81"/>
      <c r="V507" s="81"/>
      <c r="AA507" s="2"/>
    </row>
    <row r="508" ht="12.75" customHeight="1">
      <c r="A508" s="1"/>
      <c r="B508" s="1"/>
      <c r="L508" s="72"/>
      <c r="S508" s="72"/>
      <c r="T508" s="72"/>
      <c r="U508" s="81"/>
      <c r="V508" s="81"/>
      <c r="AA508" s="2"/>
    </row>
    <row r="509" ht="12.75" customHeight="1">
      <c r="A509" s="1"/>
      <c r="B509" s="1"/>
      <c r="L509" s="72"/>
      <c r="S509" s="72"/>
      <c r="T509" s="72"/>
      <c r="U509" s="81"/>
      <c r="V509" s="81"/>
      <c r="AA509" s="2"/>
    </row>
    <row r="510" ht="12.75" customHeight="1">
      <c r="A510" s="1"/>
      <c r="B510" s="1"/>
      <c r="L510" s="72"/>
      <c r="S510" s="72"/>
      <c r="T510" s="72"/>
      <c r="U510" s="81"/>
      <c r="V510" s="81"/>
      <c r="AA510" s="2"/>
    </row>
    <row r="511" ht="12.75" customHeight="1">
      <c r="A511" s="1"/>
      <c r="B511" s="1"/>
      <c r="L511" s="72"/>
      <c r="S511" s="72"/>
      <c r="T511" s="72"/>
      <c r="U511" s="81"/>
      <c r="V511" s="81"/>
      <c r="AA511" s="2"/>
    </row>
    <row r="512" ht="12.75" customHeight="1">
      <c r="A512" s="1"/>
      <c r="B512" s="1"/>
      <c r="L512" s="72"/>
      <c r="S512" s="72"/>
      <c r="T512" s="72"/>
      <c r="U512" s="81"/>
      <c r="V512" s="81"/>
      <c r="AA512" s="2"/>
    </row>
    <row r="513" ht="12.75" customHeight="1">
      <c r="A513" s="1"/>
      <c r="B513" s="1"/>
      <c r="L513" s="72"/>
      <c r="S513" s="72"/>
      <c r="T513" s="72"/>
      <c r="U513" s="81"/>
      <c r="V513" s="81"/>
      <c r="AA513" s="2"/>
    </row>
    <row r="514" ht="12.75" customHeight="1">
      <c r="A514" s="1"/>
      <c r="B514" s="1"/>
      <c r="L514" s="72"/>
      <c r="S514" s="72"/>
      <c r="T514" s="72"/>
      <c r="U514" s="81"/>
      <c r="V514" s="81"/>
      <c r="AA514" s="2"/>
    </row>
    <row r="515" ht="12.75" customHeight="1">
      <c r="A515" s="1"/>
      <c r="B515" s="1"/>
      <c r="L515" s="72"/>
      <c r="S515" s="72"/>
      <c r="T515" s="72"/>
      <c r="U515" s="81"/>
      <c r="V515" s="81"/>
      <c r="AA515" s="2"/>
    </row>
    <row r="516" ht="12.75" customHeight="1">
      <c r="A516" s="1"/>
      <c r="B516" s="1"/>
      <c r="L516" s="72"/>
      <c r="S516" s="72"/>
      <c r="T516" s="72"/>
      <c r="U516" s="81"/>
      <c r="V516" s="81"/>
      <c r="AA516" s="2"/>
    </row>
    <row r="517" ht="12.75" customHeight="1">
      <c r="A517" s="1"/>
      <c r="B517" s="1"/>
      <c r="L517" s="72"/>
      <c r="S517" s="72"/>
      <c r="T517" s="72"/>
      <c r="U517" s="81"/>
      <c r="V517" s="81"/>
      <c r="AA517" s="2"/>
    </row>
    <row r="518" ht="12.75" customHeight="1">
      <c r="A518" s="1"/>
      <c r="B518" s="1"/>
      <c r="L518" s="72"/>
      <c r="S518" s="72"/>
      <c r="T518" s="72"/>
      <c r="U518" s="81"/>
      <c r="V518" s="81"/>
      <c r="AA518" s="2"/>
    </row>
    <row r="519" ht="12.75" customHeight="1">
      <c r="A519" s="1"/>
      <c r="B519" s="1"/>
      <c r="L519" s="72"/>
      <c r="S519" s="72"/>
      <c r="T519" s="72"/>
      <c r="U519" s="81"/>
      <c r="V519" s="81"/>
      <c r="AA519" s="2"/>
    </row>
    <row r="520" ht="12.75" customHeight="1">
      <c r="A520" s="1"/>
      <c r="B520" s="1"/>
      <c r="L520" s="72"/>
      <c r="S520" s="72"/>
      <c r="T520" s="72"/>
      <c r="U520" s="81"/>
      <c r="V520" s="81"/>
      <c r="AA520" s="2"/>
    </row>
    <row r="521" ht="12.75" customHeight="1">
      <c r="A521" s="1"/>
      <c r="B521" s="1"/>
      <c r="L521" s="72"/>
      <c r="S521" s="72"/>
      <c r="T521" s="72"/>
      <c r="U521" s="81"/>
      <c r="V521" s="81"/>
      <c r="AA521" s="2"/>
    </row>
    <row r="522" ht="12.75" customHeight="1">
      <c r="A522" s="1"/>
      <c r="B522" s="1"/>
      <c r="L522" s="72"/>
      <c r="S522" s="72"/>
      <c r="T522" s="72"/>
      <c r="U522" s="81"/>
      <c r="V522" s="81"/>
      <c r="AA522" s="2"/>
    </row>
    <row r="523" ht="12.75" customHeight="1">
      <c r="A523" s="1"/>
      <c r="B523" s="1"/>
      <c r="L523" s="72"/>
      <c r="S523" s="72"/>
      <c r="T523" s="72"/>
      <c r="U523" s="81"/>
      <c r="V523" s="81"/>
      <c r="AA523" s="2"/>
    </row>
    <row r="524" ht="12.75" customHeight="1">
      <c r="A524" s="1"/>
      <c r="B524" s="1"/>
      <c r="L524" s="72"/>
      <c r="S524" s="72"/>
      <c r="T524" s="72"/>
      <c r="U524" s="81"/>
      <c r="V524" s="81"/>
      <c r="AA524" s="2"/>
    </row>
    <row r="525" ht="12.75" customHeight="1">
      <c r="A525" s="1"/>
      <c r="B525" s="1"/>
      <c r="L525" s="72"/>
      <c r="S525" s="72"/>
      <c r="T525" s="72"/>
      <c r="U525" s="81"/>
      <c r="V525" s="81"/>
      <c r="AA525" s="2"/>
    </row>
    <row r="526" ht="12.75" customHeight="1">
      <c r="A526" s="1"/>
      <c r="B526" s="1"/>
      <c r="L526" s="72"/>
      <c r="S526" s="72"/>
      <c r="T526" s="72"/>
      <c r="U526" s="81"/>
      <c r="V526" s="81"/>
      <c r="AA526" s="2"/>
    </row>
    <row r="527" ht="12.75" customHeight="1">
      <c r="A527" s="1"/>
      <c r="B527" s="1"/>
      <c r="L527" s="72"/>
      <c r="S527" s="72"/>
      <c r="T527" s="72"/>
      <c r="U527" s="81"/>
      <c r="V527" s="81"/>
      <c r="AA527" s="2"/>
    </row>
    <row r="528" ht="12.75" customHeight="1">
      <c r="A528" s="1"/>
      <c r="B528" s="1"/>
      <c r="L528" s="72"/>
      <c r="S528" s="72"/>
      <c r="T528" s="72"/>
      <c r="U528" s="81"/>
      <c r="V528" s="81"/>
      <c r="AA528" s="2"/>
    </row>
    <row r="529" ht="12.75" customHeight="1">
      <c r="A529" s="1"/>
      <c r="B529" s="1"/>
      <c r="L529" s="72"/>
      <c r="S529" s="72"/>
      <c r="T529" s="72"/>
      <c r="U529" s="81"/>
      <c r="V529" s="81"/>
      <c r="AA529" s="2"/>
    </row>
    <row r="530" ht="12.75" customHeight="1">
      <c r="A530" s="1"/>
      <c r="B530" s="1"/>
      <c r="L530" s="72"/>
      <c r="S530" s="72"/>
      <c r="T530" s="72"/>
      <c r="U530" s="81"/>
      <c r="V530" s="81"/>
      <c r="AA530" s="2"/>
    </row>
    <row r="531" ht="12.75" customHeight="1">
      <c r="A531" s="1"/>
      <c r="B531" s="1"/>
      <c r="L531" s="72"/>
      <c r="S531" s="72"/>
      <c r="T531" s="72"/>
      <c r="U531" s="81"/>
      <c r="V531" s="81"/>
      <c r="AA531" s="2"/>
    </row>
    <row r="532" ht="12.75" customHeight="1">
      <c r="A532" s="1"/>
      <c r="B532" s="1"/>
      <c r="L532" s="72"/>
      <c r="S532" s="72"/>
      <c r="T532" s="72"/>
      <c r="U532" s="81"/>
      <c r="V532" s="81"/>
      <c r="AA532" s="2"/>
    </row>
    <row r="533" ht="12.75" customHeight="1">
      <c r="A533" s="1"/>
      <c r="B533" s="1"/>
      <c r="L533" s="72"/>
      <c r="S533" s="72"/>
      <c r="T533" s="72"/>
      <c r="U533" s="81"/>
      <c r="V533" s="81"/>
      <c r="AA533" s="2"/>
    </row>
    <row r="534" ht="12.75" customHeight="1">
      <c r="A534" s="1"/>
      <c r="B534" s="1"/>
      <c r="L534" s="72"/>
      <c r="S534" s="72"/>
      <c r="T534" s="72"/>
      <c r="U534" s="81"/>
      <c r="V534" s="81"/>
      <c r="AA534" s="2"/>
    </row>
    <row r="535" ht="12.75" customHeight="1">
      <c r="A535" s="1"/>
      <c r="B535" s="1"/>
      <c r="L535" s="72"/>
      <c r="S535" s="72"/>
      <c r="T535" s="72"/>
      <c r="U535" s="81"/>
      <c r="V535" s="81"/>
      <c r="AA535" s="2"/>
    </row>
    <row r="536" ht="12.75" customHeight="1">
      <c r="A536" s="1"/>
      <c r="B536" s="1"/>
      <c r="L536" s="72"/>
      <c r="S536" s="72"/>
      <c r="T536" s="72"/>
      <c r="U536" s="81"/>
      <c r="V536" s="81"/>
      <c r="AA536" s="2"/>
    </row>
    <row r="537" ht="12.75" customHeight="1">
      <c r="A537" s="1"/>
      <c r="B537" s="1"/>
      <c r="L537" s="72"/>
      <c r="S537" s="72"/>
      <c r="T537" s="72"/>
      <c r="U537" s="81"/>
      <c r="V537" s="81"/>
      <c r="AA537" s="2"/>
    </row>
    <row r="538" ht="12.75" customHeight="1">
      <c r="A538" s="1"/>
      <c r="B538" s="1"/>
      <c r="L538" s="72"/>
      <c r="S538" s="72"/>
      <c r="T538" s="72"/>
      <c r="U538" s="81"/>
      <c r="V538" s="81"/>
      <c r="AA538" s="2"/>
    </row>
    <row r="539" ht="12.75" customHeight="1">
      <c r="A539" s="1"/>
      <c r="B539" s="1"/>
      <c r="L539" s="72"/>
      <c r="S539" s="72"/>
      <c r="T539" s="72"/>
      <c r="U539" s="81"/>
      <c r="V539" s="81"/>
      <c r="AA539" s="2"/>
    </row>
    <row r="540" ht="12.75" customHeight="1">
      <c r="A540" s="1"/>
      <c r="B540" s="1"/>
      <c r="L540" s="72"/>
      <c r="S540" s="72"/>
      <c r="T540" s="72"/>
      <c r="U540" s="81"/>
      <c r="V540" s="81"/>
      <c r="AA540" s="2"/>
    </row>
    <row r="541" ht="12.75" customHeight="1">
      <c r="A541" s="1"/>
      <c r="B541" s="1"/>
      <c r="L541" s="72"/>
      <c r="S541" s="72"/>
      <c r="T541" s="72"/>
      <c r="U541" s="81"/>
      <c r="V541" s="81"/>
      <c r="AA541" s="2"/>
    </row>
    <row r="542" ht="12.75" customHeight="1">
      <c r="A542" s="1"/>
      <c r="B542" s="1"/>
      <c r="L542" s="72"/>
      <c r="S542" s="72"/>
      <c r="T542" s="72"/>
      <c r="U542" s="81"/>
      <c r="V542" s="81"/>
      <c r="AA542" s="2"/>
    </row>
    <row r="543" ht="12.75" customHeight="1">
      <c r="A543" s="1"/>
      <c r="B543" s="1"/>
      <c r="L543" s="72"/>
      <c r="S543" s="72"/>
      <c r="T543" s="72"/>
      <c r="U543" s="81"/>
      <c r="V543" s="81"/>
      <c r="AA543" s="2"/>
    </row>
    <row r="544" ht="12.75" customHeight="1">
      <c r="A544" s="1"/>
      <c r="B544" s="1"/>
      <c r="L544" s="72"/>
      <c r="S544" s="72"/>
      <c r="T544" s="72"/>
      <c r="U544" s="81"/>
      <c r="V544" s="81"/>
      <c r="AA544" s="2"/>
    </row>
    <row r="545" ht="12.75" customHeight="1">
      <c r="A545" s="1"/>
      <c r="B545" s="1"/>
      <c r="L545" s="72"/>
      <c r="S545" s="72"/>
      <c r="T545" s="72"/>
      <c r="U545" s="81"/>
      <c r="V545" s="81"/>
      <c r="AA545" s="2"/>
    </row>
    <row r="546" ht="12.75" customHeight="1">
      <c r="A546" s="1"/>
      <c r="B546" s="1"/>
      <c r="L546" s="72"/>
      <c r="S546" s="72"/>
      <c r="T546" s="72"/>
      <c r="U546" s="81"/>
      <c r="V546" s="81"/>
      <c r="AA546" s="2"/>
    </row>
    <row r="547" ht="12.75" customHeight="1">
      <c r="A547" s="1"/>
      <c r="B547" s="1"/>
      <c r="L547" s="72"/>
      <c r="S547" s="72"/>
      <c r="T547" s="72"/>
      <c r="U547" s="81"/>
      <c r="V547" s="81"/>
      <c r="AA547" s="2"/>
    </row>
    <row r="548" ht="12.75" customHeight="1">
      <c r="A548" s="1"/>
      <c r="B548" s="1"/>
      <c r="L548" s="72"/>
      <c r="S548" s="72"/>
      <c r="T548" s="72"/>
      <c r="U548" s="81"/>
      <c r="V548" s="81"/>
      <c r="AA548" s="2"/>
    </row>
    <row r="549" ht="12.75" customHeight="1">
      <c r="A549" s="1"/>
      <c r="B549" s="1"/>
      <c r="L549" s="72"/>
      <c r="S549" s="72"/>
      <c r="T549" s="72"/>
      <c r="U549" s="81"/>
      <c r="V549" s="81"/>
      <c r="AA549" s="2"/>
    </row>
    <row r="550" ht="12.75" customHeight="1">
      <c r="A550" s="1"/>
      <c r="B550" s="1"/>
      <c r="L550" s="72"/>
      <c r="S550" s="72"/>
      <c r="T550" s="72"/>
      <c r="U550" s="81"/>
      <c r="V550" s="81"/>
      <c r="AA550" s="2"/>
    </row>
    <row r="551" ht="12.75" customHeight="1">
      <c r="A551" s="1"/>
      <c r="B551" s="1"/>
      <c r="L551" s="72"/>
      <c r="S551" s="72"/>
      <c r="T551" s="72"/>
      <c r="U551" s="81"/>
      <c r="V551" s="81"/>
      <c r="AA551" s="2"/>
    </row>
    <row r="552" ht="12.75" customHeight="1">
      <c r="A552" s="1"/>
      <c r="B552" s="1"/>
      <c r="L552" s="72"/>
      <c r="S552" s="72"/>
      <c r="T552" s="72"/>
      <c r="U552" s="81"/>
      <c r="V552" s="81"/>
      <c r="AA552" s="2"/>
    </row>
    <row r="553" ht="12.75" customHeight="1">
      <c r="A553" s="1"/>
      <c r="B553" s="1"/>
      <c r="L553" s="72"/>
      <c r="S553" s="72"/>
      <c r="T553" s="72"/>
      <c r="U553" s="81"/>
      <c r="V553" s="81"/>
      <c r="AA553" s="2"/>
    </row>
    <row r="554" ht="12.75" customHeight="1">
      <c r="A554" s="1"/>
      <c r="B554" s="1"/>
      <c r="L554" s="72"/>
      <c r="S554" s="72"/>
      <c r="T554" s="72"/>
      <c r="U554" s="81"/>
      <c r="V554" s="81"/>
      <c r="AA554" s="2"/>
    </row>
    <row r="555" ht="12.75" customHeight="1">
      <c r="A555" s="1"/>
      <c r="B555" s="1"/>
      <c r="L555" s="72"/>
      <c r="S555" s="72"/>
      <c r="T555" s="72"/>
      <c r="U555" s="81"/>
      <c r="V555" s="81"/>
      <c r="AA555" s="2"/>
    </row>
    <row r="556" ht="12.75" customHeight="1">
      <c r="A556" s="1"/>
      <c r="B556" s="1"/>
      <c r="L556" s="72"/>
      <c r="S556" s="72"/>
      <c r="T556" s="72"/>
      <c r="U556" s="81"/>
      <c r="V556" s="81"/>
      <c r="AA556" s="2"/>
    </row>
    <row r="557" ht="12.75" customHeight="1">
      <c r="A557" s="1"/>
      <c r="B557" s="1"/>
      <c r="L557" s="72"/>
      <c r="S557" s="72"/>
      <c r="T557" s="72"/>
      <c r="U557" s="81"/>
      <c r="V557" s="81"/>
      <c r="AA557" s="2"/>
    </row>
    <row r="558" ht="12.75" customHeight="1">
      <c r="A558" s="1"/>
      <c r="B558" s="1"/>
      <c r="L558" s="72"/>
      <c r="S558" s="72"/>
      <c r="T558" s="72"/>
      <c r="U558" s="81"/>
      <c r="V558" s="81"/>
      <c r="AA558" s="2"/>
    </row>
    <row r="559" ht="12.75" customHeight="1">
      <c r="A559" s="1"/>
      <c r="B559" s="1"/>
      <c r="L559" s="72"/>
      <c r="S559" s="72"/>
      <c r="T559" s="72"/>
      <c r="U559" s="81"/>
      <c r="V559" s="81"/>
      <c r="AA559" s="2"/>
    </row>
    <row r="560" ht="12.75" customHeight="1">
      <c r="A560" s="1"/>
      <c r="B560" s="1"/>
      <c r="L560" s="72"/>
      <c r="S560" s="72"/>
      <c r="T560" s="72"/>
      <c r="U560" s="81"/>
      <c r="V560" s="81"/>
      <c r="AA560" s="2"/>
    </row>
    <row r="561" ht="12.75" customHeight="1">
      <c r="A561" s="1"/>
      <c r="B561" s="1"/>
      <c r="L561" s="72"/>
      <c r="S561" s="72"/>
      <c r="T561" s="72"/>
      <c r="U561" s="81"/>
      <c r="V561" s="81"/>
      <c r="AA561" s="2"/>
    </row>
    <row r="562" ht="12.75" customHeight="1">
      <c r="A562" s="1"/>
      <c r="B562" s="1"/>
      <c r="L562" s="72"/>
      <c r="S562" s="72"/>
      <c r="T562" s="72"/>
      <c r="U562" s="81"/>
      <c r="V562" s="81"/>
      <c r="AA562" s="2"/>
    </row>
    <row r="563" ht="12.75" customHeight="1">
      <c r="A563" s="1"/>
      <c r="B563" s="1"/>
      <c r="L563" s="72"/>
      <c r="S563" s="72"/>
      <c r="T563" s="72"/>
      <c r="U563" s="81"/>
      <c r="V563" s="81"/>
      <c r="AA563" s="2"/>
    </row>
    <row r="564" ht="12.75" customHeight="1">
      <c r="A564" s="1"/>
      <c r="B564" s="1"/>
      <c r="L564" s="72"/>
      <c r="S564" s="72"/>
      <c r="T564" s="72"/>
      <c r="U564" s="81"/>
      <c r="V564" s="81"/>
      <c r="AA564" s="2"/>
    </row>
    <row r="565" ht="12.75" customHeight="1">
      <c r="A565" s="1"/>
      <c r="B565" s="1"/>
      <c r="L565" s="72"/>
      <c r="S565" s="72"/>
      <c r="T565" s="72"/>
      <c r="U565" s="81"/>
      <c r="V565" s="81"/>
      <c r="AA565" s="2"/>
    </row>
    <row r="566" ht="12.75" customHeight="1">
      <c r="A566" s="1"/>
      <c r="B566" s="1"/>
      <c r="L566" s="72"/>
      <c r="S566" s="72"/>
      <c r="T566" s="72"/>
      <c r="U566" s="81"/>
      <c r="V566" s="81"/>
      <c r="AA566" s="2"/>
    </row>
    <row r="567" ht="12.75" customHeight="1">
      <c r="A567" s="1"/>
      <c r="B567" s="1"/>
      <c r="L567" s="72"/>
      <c r="S567" s="72"/>
      <c r="T567" s="72"/>
      <c r="U567" s="81"/>
      <c r="V567" s="81"/>
      <c r="AA567" s="2"/>
    </row>
    <row r="568" ht="12.75" customHeight="1">
      <c r="A568" s="1"/>
      <c r="B568" s="1"/>
      <c r="L568" s="72"/>
      <c r="S568" s="72"/>
      <c r="T568" s="72"/>
      <c r="U568" s="81"/>
      <c r="V568" s="81"/>
      <c r="AA568" s="2"/>
    </row>
    <row r="569" ht="12.75" customHeight="1">
      <c r="A569" s="1"/>
      <c r="B569" s="1"/>
      <c r="L569" s="72"/>
      <c r="S569" s="72"/>
      <c r="T569" s="72"/>
      <c r="U569" s="81"/>
      <c r="V569" s="81"/>
      <c r="AA569" s="2"/>
    </row>
    <row r="570" ht="12.75" customHeight="1">
      <c r="A570" s="1"/>
      <c r="B570" s="1"/>
      <c r="L570" s="72"/>
      <c r="S570" s="72"/>
      <c r="T570" s="72"/>
      <c r="U570" s="81"/>
      <c r="V570" s="81"/>
      <c r="AA570" s="2"/>
    </row>
    <row r="571" ht="12.75" customHeight="1">
      <c r="A571" s="1"/>
      <c r="B571" s="1"/>
      <c r="L571" s="72"/>
      <c r="S571" s="72"/>
      <c r="T571" s="72"/>
      <c r="U571" s="81"/>
      <c r="V571" s="81"/>
      <c r="AA571" s="2"/>
    </row>
    <row r="572" ht="12.75" customHeight="1">
      <c r="A572" s="1"/>
      <c r="B572" s="1"/>
      <c r="L572" s="72"/>
      <c r="S572" s="72"/>
      <c r="T572" s="72"/>
      <c r="U572" s="81"/>
      <c r="V572" s="81"/>
      <c r="AA572" s="2"/>
    </row>
    <row r="573" ht="12.75" customHeight="1">
      <c r="A573" s="1"/>
      <c r="B573" s="1"/>
      <c r="L573" s="72"/>
      <c r="S573" s="72"/>
      <c r="T573" s="72"/>
      <c r="U573" s="81"/>
      <c r="V573" s="81"/>
      <c r="AA573" s="2"/>
    </row>
    <row r="574" ht="12.75" customHeight="1">
      <c r="A574" s="1"/>
      <c r="B574" s="1"/>
      <c r="L574" s="72"/>
      <c r="S574" s="72"/>
      <c r="T574" s="72"/>
      <c r="U574" s="81"/>
      <c r="V574" s="81"/>
      <c r="AA574" s="2"/>
    </row>
    <row r="575" ht="12.75" customHeight="1">
      <c r="A575" s="1"/>
      <c r="B575" s="1"/>
      <c r="L575" s="72"/>
      <c r="S575" s="72"/>
      <c r="T575" s="72"/>
      <c r="U575" s="81"/>
      <c r="V575" s="81"/>
      <c r="AA575" s="2"/>
    </row>
    <row r="576" ht="12.75" customHeight="1">
      <c r="A576" s="1"/>
      <c r="B576" s="1"/>
      <c r="L576" s="72"/>
      <c r="S576" s="72"/>
      <c r="T576" s="72"/>
      <c r="U576" s="81"/>
      <c r="V576" s="81"/>
      <c r="AA576" s="2"/>
    </row>
    <row r="577" ht="12.75" customHeight="1">
      <c r="A577" s="1"/>
      <c r="B577" s="1"/>
      <c r="L577" s="72"/>
      <c r="S577" s="72"/>
      <c r="T577" s="72"/>
      <c r="U577" s="81"/>
      <c r="V577" s="81"/>
      <c r="AA577" s="2"/>
    </row>
    <row r="578" ht="12.75" customHeight="1">
      <c r="A578" s="1"/>
      <c r="B578" s="1"/>
      <c r="L578" s="72"/>
      <c r="S578" s="72"/>
      <c r="T578" s="72"/>
      <c r="U578" s="81"/>
      <c r="V578" s="81"/>
      <c r="AA578" s="2"/>
    </row>
    <row r="579" ht="12.75" customHeight="1">
      <c r="A579" s="1"/>
      <c r="B579" s="1"/>
      <c r="L579" s="72"/>
      <c r="S579" s="72"/>
      <c r="T579" s="72"/>
      <c r="U579" s="81"/>
      <c r="V579" s="81"/>
      <c r="AA579" s="2"/>
    </row>
    <row r="580" ht="12.75" customHeight="1">
      <c r="A580" s="1"/>
      <c r="B580" s="1"/>
      <c r="L580" s="72"/>
      <c r="S580" s="72"/>
      <c r="T580" s="72"/>
      <c r="U580" s="81"/>
      <c r="V580" s="81"/>
      <c r="AA580" s="2"/>
    </row>
    <row r="581" ht="12.75" customHeight="1">
      <c r="A581" s="1"/>
      <c r="B581" s="1"/>
      <c r="L581" s="72"/>
      <c r="S581" s="72"/>
      <c r="T581" s="72"/>
      <c r="U581" s="81"/>
      <c r="V581" s="81"/>
      <c r="AA581" s="2"/>
    </row>
    <row r="582" ht="12.75" customHeight="1">
      <c r="A582" s="1"/>
      <c r="B582" s="1"/>
      <c r="L582" s="72"/>
      <c r="S582" s="72"/>
      <c r="T582" s="72"/>
      <c r="U582" s="81"/>
      <c r="V582" s="81"/>
      <c r="AA582" s="2"/>
    </row>
    <row r="583" ht="12.75" customHeight="1">
      <c r="A583" s="1"/>
      <c r="B583" s="1"/>
      <c r="L583" s="72"/>
      <c r="S583" s="72"/>
      <c r="T583" s="72"/>
      <c r="U583" s="81"/>
      <c r="V583" s="81"/>
      <c r="AA583" s="2"/>
    </row>
    <row r="584" ht="12.75" customHeight="1">
      <c r="A584" s="1"/>
      <c r="B584" s="1"/>
      <c r="L584" s="72"/>
      <c r="S584" s="72"/>
      <c r="T584" s="72"/>
      <c r="U584" s="81"/>
      <c r="V584" s="81"/>
      <c r="AA584" s="2"/>
    </row>
    <row r="585" ht="12.75" customHeight="1">
      <c r="A585" s="1"/>
      <c r="B585" s="1"/>
      <c r="L585" s="72"/>
      <c r="S585" s="72"/>
      <c r="T585" s="72"/>
      <c r="U585" s="81"/>
      <c r="V585" s="81"/>
      <c r="AA585" s="2"/>
    </row>
    <row r="586" ht="12.75" customHeight="1">
      <c r="A586" s="1"/>
      <c r="B586" s="1"/>
      <c r="L586" s="72"/>
      <c r="S586" s="72"/>
      <c r="T586" s="72"/>
      <c r="U586" s="81"/>
      <c r="V586" s="81"/>
      <c r="AA586" s="2"/>
    </row>
    <row r="587" ht="12.75" customHeight="1">
      <c r="A587" s="1"/>
      <c r="B587" s="1"/>
      <c r="L587" s="72"/>
      <c r="S587" s="72"/>
      <c r="T587" s="72"/>
      <c r="U587" s="81"/>
      <c r="V587" s="81"/>
      <c r="AA587" s="2"/>
    </row>
    <row r="588" ht="12.75" customHeight="1">
      <c r="A588" s="1"/>
      <c r="B588" s="1"/>
      <c r="L588" s="72"/>
      <c r="S588" s="72"/>
      <c r="T588" s="72"/>
      <c r="U588" s="81"/>
      <c r="V588" s="81"/>
      <c r="AA588" s="2"/>
    </row>
    <row r="589" ht="12.75" customHeight="1">
      <c r="A589" s="1"/>
      <c r="B589" s="1"/>
      <c r="L589" s="72"/>
      <c r="S589" s="72"/>
      <c r="T589" s="72"/>
      <c r="U589" s="81"/>
      <c r="V589" s="81"/>
      <c r="AA589" s="2"/>
    </row>
    <row r="590" ht="12.75" customHeight="1">
      <c r="A590" s="1"/>
      <c r="B590" s="1"/>
      <c r="L590" s="72"/>
      <c r="S590" s="72"/>
      <c r="T590" s="72"/>
      <c r="U590" s="81"/>
      <c r="V590" s="81"/>
      <c r="AA590" s="2"/>
    </row>
    <row r="591" ht="12.75" customHeight="1">
      <c r="A591" s="1"/>
      <c r="B591" s="1"/>
      <c r="L591" s="72"/>
      <c r="S591" s="72"/>
      <c r="T591" s="72"/>
      <c r="U591" s="81"/>
      <c r="V591" s="81"/>
      <c r="AA591" s="2"/>
    </row>
    <row r="592" ht="12.75" customHeight="1">
      <c r="A592" s="1"/>
      <c r="B592" s="1"/>
      <c r="L592" s="72"/>
      <c r="S592" s="72"/>
      <c r="T592" s="72"/>
      <c r="U592" s="81"/>
      <c r="V592" s="81"/>
      <c r="AA592" s="2"/>
    </row>
    <row r="593" ht="12.75" customHeight="1">
      <c r="A593" s="1"/>
      <c r="B593" s="1"/>
      <c r="L593" s="72"/>
      <c r="S593" s="72"/>
      <c r="T593" s="72"/>
      <c r="U593" s="81"/>
      <c r="V593" s="81"/>
      <c r="AA593" s="2"/>
    </row>
    <row r="594" ht="12.75" customHeight="1">
      <c r="A594" s="1"/>
      <c r="B594" s="1"/>
      <c r="L594" s="72"/>
      <c r="S594" s="72"/>
      <c r="T594" s="72"/>
      <c r="U594" s="81"/>
      <c r="V594" s="81"/>
      <c r="AA594" s="2"/>
    </row>
    <row r="595" ht="12.75" customHeight="1">
      <c r="A595" s="1"/>
      <c r="B595" s="1"/>
      <c r="L595" s="72"/>
      <c r="S595" s="72"/>
      <c r="T595" s="72"/>
      <c r="U595" s="81"/>
      <c r="V595" s="81"/>
      <c r="AA595" s="2"/>
    </row>
    <row r="596" ht="12.75" customHeight="1">
      <c r="A596" s="1"/>
      <c r="B596" s="1"/>
      <c r="L596" s="72"/>
      <c r="S596" s="72"/>
      <c r="T596" s="72"/>
      <c r="U596" s="81"/>
      <c r="V596" s="81"/>
      <c r="AA596" s="2"/>
    </row>
    <row r="597" ht="12.75" customHeight="1">
      <c r="A597" s="1"/>
      <c r="B597" s="1"/>
      <c r="L597" s="72"/>
      <c r="S597" s="72"/>
      <c r="T597" s="72"/>
      <c r="U597" s="81"/>
      <c r="V597" s="81"/>
      <c r="AA597" s="2"/>
    </row>
    <row r="598" ht="12.75" customHeight="1">
      <c r="A598" s="1"/>
      <c r="B598" s="1"/>
      <c r="L598" s="72"/>
      <c r="S598" s="72"/>
      <c r="T598" s="72"/>
      <c r="U598" s="81"/>
      <c r="V598" s="81"/>
      <c r="AA598" s="2"/>
    </row>
    <row r="599" ht="12.75" customHeight="1">
      <c r="A599" s="1"/>
      <c r="B599" s="1"/>
      <c r="L599" s="72"/>
      <c r="S599" s="72"/>
      <c r="T599" s="72"/>
      <c r="U599" s="81"/>
      <c r="V599" s="81"/>
      <c r="AA599" s="2"/>
    </row>
    <row r="600" ht="12.75" customHeight="1">
      <c r="A600" s="1"/>
      <c r="B600" s="1"/>
      <c r="L600" s="72"/>
      <c r="S600" s="72"/>
      <c r="T600" s="72"/>
      <c r="U600" s="81"/>
      <c r="V600" s="81"/>
      <c r="AA600" s="2"/>
    </row>
    <row r="601" ht="12.75" customHeight="1">
      <c r="A601" s="1"/>
      <c r="B601" s="1"/>
      <c r="L601" s="72"/>
      <c r="S601" s="72"/>
      <c r="T601" s="72"/>
      <c r="U601" s="81"/>
      <c r="V601" s="81"/>
      <c r="AA601" s="2"/>
    </row>
    <row r="602" ht="12.75" customHeight="1">
      <c r="A602" s="1"/>
      <c r="B602" s="1"/>
      <c r="L602" s="72"/>
      <c r="S602" s="72"/>
      <c r="T602" s="72"/>
      <c r="U602" s="81"/>
      <c r="V602" s="81"/>
      <c r="AA602" s="2"/>
    </row>
    <row r="603" ht="12.75" customHeight="1">
      <c r="A603" s="1"/>
      <c r="B603" s="1"/>
      <c r="L603" s="72"/>
      <c r="S603" s="72"/>
      <c r="T603" s="72"/>
      <c r="U603" s="81"/>
      <c r="V603" s="81"/>
      <c r="AA603" s="2"/>
    </row>
    <row r="604" ht="12.75" customHeight="1">
      <c r="A604" s="1"/>
      <c r="B604" s="1"/>
      <c r="L604" s="72"/>
      <c r="S604" s="72"/>
      <c r="T604" s="72"/>
      <c r="U604" s="81"/>
      <c r="V604" s="81"/>
      <c r="AA604" s="2"/>
    </row>
    <row r="605" ht="12.75" customHeight="1">
      <c r="A605" s="1"/>
      <c r="B605" s="1"/>
      <c r="L605" s="72"/>
      <c r="S605" s="72"/>
      <c r="T605" s="72"/>
      <c r="U605" s="81"/>
      <c r="V605" s="81"/>
      <c r="AA605" s="2"/>
    </row>
    <row r="606" ht="12.75" customHeight="1">
      <c r="A606" s="1"/>
      <c r="B606" s="1"/>
      <c r="L606" s="72"/>
      <c r="S606" s="72"/>
      <c r="T606" s="72"/>
      <c r="U606" s="81"/>
      <c r="V606" s="81"/>
      <c r="AA606" s="2"/>
    </row>
    <row r="607" ht="12.75" customHeight="1">
      <c r="A607" s="1"/>
      <c r="B607" s="1"/>
      <c r="L607" s="72"/>
      <c r="S607" s="72"/>
      <c r="T607" s="72"/>
      <c r="U607" s="81"/>
      <c r="V607" s="81"/>
      <c r="AA607" s="2"/>
    </row>
    <row r="608" ht="12.75" customHeight="1">
      <c r="A608" s="1"/>
      <c r="B608" s="1"/>
      <c r="L608" s="72"/>
      <c r="S608" s="72"/>
      <c r="T608" s="72"/>
      <c r="U608" s="81"/>
      <c r="V608" s="81"/>
      <c r="AA608" s="2"/>
    </row>
    <row r="609" ht="12.75" customHeight="1">
      <c r="A609" s="1"/>
      <c r="B609" s="1"/>
      <c r="L609" s="72"/>
      <c r="S609" s="72"/>
      <c r="T609" s="72"/>
      <c r="U609" s="81"/>
      <c r="V609" s="81"/>
      <c r="AA609" s="2"/>
    </row>
    <row r="610" ht="12.75" customHeight="1">
      <c r="A610" s="1"/>
      <c r="B610" s="1"/>
      <c r="L610" s="72"/>
      <c r="S610" s="72"/>
      <c r="T610" s="72"/>
      <c r="U610" s="81"/>
      <c r="V610" s="81"/>
      <c r="AA610" s="2"/>
    </row>
    <row r="611" ht="12.75" customHeight="1">
      <c r="A611" s="1"/>
      <c r="B611" s="1"/>
      <c r="L611" s="72"/>
      <c r="S611" s="72"/>
      <c r="T611" s="72"/>
      <c r="U611" s="81"/>
      <c r="V611" s="81"/>
      <c r="AA611" s="2"/>
    </row>
    <row r="612" ht="12.75" customHeight="1">
      <c r="A612" s="1"/>
      <c r="B612" s="1"/>
      <c r="L612" s="72"/>
      <c r="S612" s="72"/>
      <c r="T612" s="72"/>
      <c r="U612" s="81"/>
      <c r="V612" s="81"/>
      <c r="AA612" s="2"/>
    </row>
    <row r="613" ht="12.75" customHeight="1">
      <c r="A613" s="1"/>
      <c r="B613" s="1"/>
      <c r="L613" s="72"/>
      <c r="S613" s="72"/>
      <c r="T613" s="72"/>
      <c r="U613" s="81"/>
      <c r="V613" s="81"/>
      <c r="AA613" s="2"/>
    </row>
    <row r="614" ht="12.75" customHeight="1">
      <c r="A614" s="1"/>
      <c r="B614" s="1"/>
      <c r="L614" s="72"/>
      <c r="S614" s="72"/>
      <c r="T614" s="72"/>
      <c r="U614" s="81"/>
      <c r="V614" s="81"/>
      <c r="AA614" s="2"/>
    </row>
    <row r="615" ht="12.75" customHeight="1">
      <c r="A615" s="1"/>
      <c r="B615" s="1"/>
      <c r="L615" s="72"/>
      <c r="S615" s="72"/>
      <c r="T615" s="72"/>
      <c r="U615" s="81"/>
      <c r="V615" s="81"/>
      <c r="AA615" s="2"/>
    </row>
    <row r="616" ht="12.75" customHeight="1">
      <c r="A616" s="1"/>
      <c r="B616" s="1"/>
      <c r="L616" s="72"/>
      <c r="S616" s="72"/>
      <c r="T616" s="72"/>
      <c r="U616" s="81"/>
      <c r="V616" s="81"/>
      <c r="AA616" s="2"/>
    </row>
    <row r="617" ht="12.75" customHeight="1">
      <c r="A617" s="1"/>
      <c r="B617" s="1"/>
      <c r="L617" s="72"/>
      <c r="S617" s="72"/>
      <c r="T617" s="72"/>
      <c r="U617" s="81"/>
      <c r="V617" s="81"/>
      <c r="AA617" s="2"/>
    </row>
    <row r="618" ht="12.75" customHeight="1">
      <c r="A618" s="1"/>
      <c r="B618" s="1"/>
      <c r="L618" s="72"/>
      <c r="S618" s="72"/>
      <c r="T618" s="72"/>
      <c r="U618" s="81"/>
      <c r="V618" s="81"/>
      <c r="AA618" s="2"/>
    </row>
    <row r="619" ht="12.75" customHeight="1">
      <c r="A619" s="1"/>
      <c r="B619" s="1"/>
      <c r="L619" s="72"/>
      <c r="S619" s="72"/>
      <c r="T619" s="72"/>
      <c r="U619" s="81"/>
      <c r="V619" s="81"/>
      <c r="AA619" s="2"/>
    </row>
    <row r="620" ht="12.75" customHeight="1">
      <c r="A620" s="1"/>
      <c r="B620" s="1"/>
      <c r="L620" s="72"/>
      <c r="S620" s="72"/>
      <c r="T620" s="72"/>
      <c r="U620" s="81"/>
      <c r="V620" s="81"/>
      <c r="AA620" s="2"/>
    </row>
    <row r="621" ht="12.75" customHeight="1">
      <c r="A621" s="1"/>
      <c r="B621" s="1"/>
      <c r="L621" s="72"/>
      <c r="S621" s="72"/>
      <c r="T621" s="72"/>
      <c r="U621" s="81"/>
      <c r="V621" s="81"/>
      <c r="AA621" s="2"/>
    </row>
    <row r="622" ht="12.75" customHeight="1">
      <c r="A622" s="1"/>
      <c r="B622" s="1"/>
      <c r="L622" s="72"/>
      <c r="S622" s="72"/>
      <c r="T622" s="72"/>
      <c r="U622" s="81"/>
      <c r="V622" s="81"/>
      <c r="AA622" s="2"/>
    </row>
    <row r="623" ht="12.75" customHeight="1">
      <c r="A623" s="1"/>
      <c r="B623" s="1"/>
      <c r="L623" s="72"/>
      <c r="S623" s="72"/>
      <c r="T623" s="72"/>
      <c r="U623" s="81"/>
      <c r="V623" s="81"/>
      <c r="AA623" s="2"/>
    </row>
    <row r="624" ht="12.75" customHeight="1">
      <c r="A624" s="1"/>
      <c r="B624" s="1"/>
      <c r="L624" s="72"/>
      <c r="S624" s="72"/>
      <c r="T624" s="72"/>
      <c r="U624" s="81"/>
      <c r="V624" s="81"/>
      <c r="AA624" s="2"/>
    </row>
    <row r="625" ht="12.75" customHeight="1">
      <c r="A625" s="1"/>
      <c r="B625" s="1"/>
      <c r="L625" s="72"/>
      <c r="S625" s="72"/>
      <c r="T625" s="72"/>
      <c r="U625" s="81"/>
      <c r="V625" s="81"/>
      <c r="AA625" s="2"/>
    </row>
    <row r="626" ht="12.75" customHeight="1">
      <c r="A626" s="1"/>
      <c r="B626" s="1"/>
      <c r="L626" s="72"/>
      <c r="S626" s="72"/>
      <c r="T626" s="72"/>
      <c r="U626" s="81"/>
      <c r="V626" s="81"/>
      <c r="AA626" s="2"/>
    </row>
    <row r="627" ht="12.75" customHeight="1">
      <c r="A627" s="1"/>
      <c r="B627" s="1"/>
      <c r="L627" s="72"/>
      <c r="S627" s="72"/>
      <c r="T627" s="72"/>
      <c r="U627" s="81"/>
      <c r="V627" s="81"/>
      <c r="AA627" s="2"/>
    </row>
    <row r="628" ht="12.75" customHeight="1">
      <c r="A628" s="1"/>
      <c r="B628" s="1"/>
      <c r="L628" s="72"/>
      <c r="S628" s="72"/>
      <c r="T628" s="72"/>
      <c r="U628" s="81"/>
      <c r="V628" s="81"/>
      <c r="AA628" s="2"/>
    </row>
    <row r="629" ht="12.75" customHeight="1">
      <c r="A629" s="1"/>
      <c r="B629" s="1"/>
      <c r="L629" s="72"/>
      <c r="S629" s="72"/>
      <c r="T629" s="72"/>
      <c r="U629" s="81"/>
      <c r="V629" s="81"/>
      <c r="AA629" s="2"/>
    </row>
    <row r="630" ht="12.75" customHeight="1">
      <c r="A630" s="1"/>
      <c r="B630" s="1"/>
      <c r="L630" s="72"/>
      <c r="S630" s="72"/>
      <c r="T630" s="72"/>
      <c r="U630" s="81"/>
      <c r="V630" s="81"/>
      <c r="AA630" s="2"/>
    </row>
    <row r="631" ht="12.75" customHeight="1">
      <c r="A631" s="1"/>
      <c r="B631" s="1"/>
      <c r="L631" s="72"/>
      <c r="S631" s="72"/>
      <c r="T631" s="72"/>
      <c r="U631" s="81"/>
      <c r="V631" s="81"/>
      <c r="AA631" s="2"/>
    </row>
    <row r="632" ht="12.75" customHeight="1">
      <c r="A632" s="1"/>
      <c r="B632" s="1"/>
      <c r="L632" s="72"/>
      <c r="S632" s="72"/>
      <c r="T632" s="72"/>
      <c r="U632" s="81"/>
      <c r="V632" s="81"/>
      <c r="AA632" s="2"/>
    </row>
    <row r="633" ht="12.75" customHeight="1">
      <c r="A633" s="1"/>
      <c r="B633" s="1"/>
      <c r="L633" s="72"/>
      <c r="S633" s="72"/>
      <c r="T633" s="72"/>
      <c r="U633" s="81"/>
      <c r="V633" s="81"/>
      <c r="AA633" s="2"/>
    </row>
    <row r="634" ht="12.75" customHeight="1">
      <c r="A634" s="1"/>
      <c r="B634" s="1"/>
      <c r="L634" s="72"/>
      <c r="S634" s="72"/>
      <c r="T634" s="72"/>
      <c r="U634" s="81"/>
      <c r="V634" s="81"/>
      <c r="AA634" s="2"/>
    </row>
    <row r="635" ht="12.75" customHeight="1">
      <c r="A635" s="1"/>
      <c r="B635" s="1"/>
      <c r="L635" s="72"/>
      <c r="S635" s="72"/>
      <c r="T635" s="72"/>
      <c r="U635" s="81"/>
      <c r="V635" s="81"/>
      <c r="AA635" s="2"/>
    </row>
    <row r="636" ht="12.75" customHeight="1">
      <c r="A636" s="1"/>
      <c r="B636" s="1"/>
      <c r="L636" s="72"/>
      <c r="S636" s="72"/>
      <c r="T636" s="72"/>
      <c r="U636" s="81"/>
      <c r="V636" s="81"/>
      <c r="AA636" s="2"/>
    </row>
    <row r="637" ht="12.75" customHeight="1">
      <c r="A637" s="1"/>
      <c r="B637" s="1"/>
      <c r="L637" s="72"/>
      <c r="S637" s="72"/>
      <c r="T637" s="72"/>
      <c r="U637" s="81"/>
      <c r="V637" s="81"/>
      <c r="AA637" s="2"/>
    </row>
    <row r="638" ht="12.75" customHeight="1">
      <c r="A638" s="1"/>
      <c r="B638" s="1"/>
      <c r="L638" s="72"/>
      <c r="S638" s="72"/>
      <c r="T638" s="72"/>
      <c r="U638" s="81"/>
      <c r="V638" s="81"/>
      <c r="AA638" s="2"/>
    </row>
    <row r="639" ht="12.75" customHeight="1">
      <c r="A639" s="1"/>
      <c r="B639" s="1"/>
      <c r="L639" s="72"/>
      <c r="S639" s="72"/>
      <c r="T639" s="72"/>
      <c r="U639" s="81"/>
      <c r="V639" s="81"/>
      <c r="AA639" s="2"/>
    </row>
    <row r="640" ht="12.75" customHeight="1">
      <c r="A640" s="1"/>
      <c r="B640" s="1"/>
      <c r="L640" s="72"/>
      <c r="S640" s="72"/>
      <c r="T640" s="72"/>
      <c r="U640" s="81"/>
      <c r="V640" s="81"/>
      <c r="AA640" s="2"/>
    </row>
    <row r="641" ht="12.75" customHeight="1">
      <c r="A641" s="1"/>
      <c r="B641" s="1"/>
      <c r="L641" s="72"/>
      <c r="S641" s="72"/>
      <c r="T641" s="72"/>
      <c r="U641" s="81"/>
      <c r="V641" s="81"/>
      <c r="AA641" s="2"/>
    </row>
    <row r="642" ht="12.75" customHeight="1">
      <c r="A642" s="1"/>
      <c r="B642" s="1"/>
      <c r="L642" s="72"/>
      <c r="S642" s="72"/>
      <c r="T642" s="72"/>
      <c r="U642" s="81"/>
      <c r="V642" s="81"/>
      <c r="AA642" s="2"/>
    </row>
    <row r="643" ht="12.75" customHeight="1">
      <c r="A643" s="1"/>
      <c r="B643" s="1"/>
      <c r="L643" s="72"/>
      <c r="S643" s="72"/>
      <c r="T643" s="72"/>
      <c r="U643" s="81"/>
      <c r="V643" s="81"/>
      <c r="AA643" s="2"/>
    </row>
    <row r="644" ht="12.75" customHeight="1">
      <c r="A644" s="1"/>
      <c r="B644" s="1"/>
      <c r="L644" s="72"/>
      <c r="S644" s="72"/>
      <c r="T644" s="72"/>
      <c r="U644" s="81"/>
      <c r="V644" s="81"/>
      <c r="AA644" s="2"/>
    </row>
    <row r="645" ht="12.75" customHeight="1">
      <c r="A645" s="1"/>
      <c r="B645" s="1"/>
      <c r="L645" s="72"/>
      <c r="S645" s="72"/>
      <c r="T645" s="72"/>
      <c r="U645" s="81"/>
      <c r="V645" s="81"/>
      <c r="AA645" s="2"/>
    </row>
    <row r="646" ht="12.75" customHeight="1">
      <c r="A646" s="1"/>
      <c r="B646" s="1"/>
      <c r="L646" s="72"/>
      <c r="S646" s="72"/>
      <c r="T646" s="72"/>
      <c r="U646" s="81"/>
      <c r="V646" s="81"/>
      <c r="AA646" s="2"/>
    </row>
    <row r="647" ht="12.75" customHeight="1">
      <c r="A647" s="1"/>
      <c r="B647" s="1"/>
      <c r="L647" s="72"/>
      <c r="S647" s="72"/>
      <c r="T647" s="72"/>
      <c r="U647" s="81"/>
      <c r="V647" s="81"/>
      <c r="AA647" s="2"/>
    </row>
    <row r="648" ht="12.75" customHeight="1">
      <c r="A648" s="1"/>
      <c r="B648" s="1"/>
      <c r="L648" s="72"/>
      <c r="S648" s="72"/>
      <c r="T648" s="72"/>
      <c r="U648" s="81"/>
      <c r="V648" s="81"/>
      <c r="AA648" s="2"/>
    </row>
    <row r="649" ht="12.75" customHeight="1">
      <c r="A649" s="1"/>
      <c r="B649" s="1"/>
      <c r="L649" s="72"/>
      <c r="S649" s="72"/>
      <c r="T649" s="72"/>
      <c r="U649" s="81"/>
      <c r="V649" s="81"/>
      <c r="AA649" s="2"/>
    </row>
    <row r="650" ht="12.75" customHeight="1">
      <c r="A650" s="1"/>
      <c r="B650" s="1"/>
      <c r="L650" s="72"/>
      <c r="S650" s="72"/>
      <c r="T650" s="72"/>
      <c r="U650" s="81"/>
      <c r="V650" s="81"/>
      <c r="AA650" s="2"/>
    </row>
    <row r="651" ht="12.75" customHeight="1">
      <c r="A651" s="1"/>
      <c r="B651" s="1"/>
      <c r="L651" s="72"/>
      <c r="S651" s="72"/>
      <c r="T651" s="72"/>
      <c r="U651" s="81"/>
      <c r="V651" s="81"/>
      <c r="AA651" s="2"/>
    </row>
    <row r="652" ht="12.75" customHeight="1">
      <c r="A652" s="1"/>
      <c r="B652" s="1"/>
      <c r="L652" s="72"/>
      <c r="S652" s="72"/>
      <c r="T652" s="72"/>
      <c r="U652" s="81"/>
      <c r="V652" s="81"/>
      <c r="AA652" s="2"/>
    </row>
    <row r="653" ht="12.75" customHeight="1">
      <c r="A653" s="1"/>
      <c r="B653" s="1"/>
      <c r="L653" s="72"/>
      <c r="S653" s="72"/>
      <c r="T653" s="72"/>
      <c r="U653" s="81"/>
      <c r="V653" s="81"/>
      <c r="AA653" s="2"/>
    </row>
    <row r="654" ht="12.75" customHeight="1">
      <c r="A654" s="1"/>
      <c r="B654" s="1"/>
      <c r="L654" s="72"/>
      <c r="S654" s="72"/>
      <c r="T654" s="72"/>
      <c r="U654" s="81"/>
      <c r="V654" s="81"/>
      <c r="AA654" s="2"/>
    </row>
    <row r="655" ht="12.75" customHeight="1">
      <c r="A655" s="1"/>
      <c r="B655" s="1"/>
      <c r="L655" s="72"/>
      <c r="S655" s="72"/>
      <c r="T655" s="72"/>
      <c r="U655" s="81"/>
      <c r="V655" s="81"/>
      <c r="AA655" s="2"/>
    </row>
    <row r="656" ht="12.75" customHeight="1">
      <c r="A656" s="1"/>
      <c r="B656" s="1"/>
      <c r="L656" s="72"/>
      <c r="S656" s="72"/>
      <c r="T656" s="72"/>
      <c r="U656" s="81"/>
      <c r="V656" s="81"/>
      <c r="AA656" s="2"/>
    </row>
    <row r="657" ht="12.75" customHeight="1">
      <c r="A657" s="1"/>
      <c r="B657" s="1"/>
      <c r="L657" s="72"/>
      <c r="S657" s="72"/>
      <c r="T657" s="72"/>
      <c r="U657" s="81"/>
      <c r="V657" s="81"/>
      <c r="AA657" s="2"/>
    </row>
    <row r="658" ht="12.75" customHeight="1">
      <c r="A658" s="1"/>
      <c r="B658" s="1"/>
      <c r="L658" s="72"/>
      <c r="S658" s="72"/>
      <c r="T658" s="72"/>
      <c r="U658" s="81"/>
      <c r="V658" s="81"/>
      <c r="AA658" s="2"/>
    </row>
    <row r="659" ht="12.75" customHeight="1">
      <c r="A659" s="1"/>
      <c r="B659" s="1"/>
      <c r="L659" s="72"/>
      <c r="S659" s="72"/>
      <c r="T659" s="72"/>
      <c r="U659" s="81"/>
      <c r="V659" s="81"/>
      <c r="AA659" s="2"/>
    </row>
    <row r="660" ht="12.75" customHeight="1">
      <c r="A660" s="1"/>
      <c r="B660" s="1"/>
      <c r="L660" s="72"/>
      <c r="S660" s="72"/>
      <c r="T660" s="72"/>
      <c r="U660" s="81"/>
      <c r="V660" s="81"/>
      <c r="AA660" s="2"/>
    </row>
    <row r="661" ht="12.75" customHeight="1">
      <c r="A661" s="1"/>
      <c r="B661" s="1"/>
      <c r="L661" s="72"/>
      <c r="S661" s="72"/>
      <c r="T661" s="72"/>
      <c r="U661" s="81"/>
      <c r="V661" s="81"/>
      <c r="AA661" s="2"/>
    </row>
    <row r="662" ht="12.75" customHeight="1">
      <c r="A662" s="1"/>
      <c r="B662" s="1"/>
      <c r="L662" s="72"/>
      <c r="S662" s="72"/>
      <c r="T662" s="72"/>
      <c r="U662" s="81"/>
      <c r="V662" s="81"/>
      <c r="AA662" s="2"/>
    </row>
    <row r="663" ht="12.75" customHeight="1">
      <c r="A663" s="1"/>
      <c r="B663" s="1"/>
      <c r="L663" s="72"/>
      <c r="S663" s="72"/>
      <c r="T663" s="72"/>
      <c r="U663" s="81"/>
      <c r="V663" s="81"/>
      <c r="AA663" s="2"/>
    </row>
    <row r="664" ht="12.75" customHeight="1">
      <c r="A664" s="1"/>
      <c r="B664" s="1"/>
      <c r="L664" s="72"/>
      <c r="S664" s="72"/>
      <c r="T664" s="72"/>
      <c r="U664" s="81"/>
      <c r="V664" s="81"/>
      <c r="AA664" s="2"/>
    </row>
    <row r="665" ht="12.75" customHeight="1">
      <c r="A665" s="1"/>
      <c r="B665" s="1"/>
      <c r="L665" s="72"/>
      <c r="S665" s="72"/>
      <c r="T665" s="72"/>
      <c r="U665" s="81"/>
      <c r="V665" s="81"/>
      <c r="AA665" s="2"/>
    </row>
    <row r="666" ht="12.75" customHeight="1">
      <c r="A666" s="1"/>
      <c r="B666" s="1"/>
      <c r="L666" s="72"/>
      <c r="S666" s="72"/>
      <c r="T666" s="72"/>
      <c r="U666" s="81"/>
      <c r="V666" s="81"/>
      <c r="AA666" s="2"/>
    </row>
    <row r="667" ht="12.75" customHeight="1">
      <c r="A667" s="1"/>
      <c r="B667" s="1"/>
      <c r="L667" s="72"/>
      <c r="S667" s="72"/>
      <c r="T667" s="72"/>
      <c r="U667" s="81"/>
      <c r="V667" s="81"/>
      <c r="AA667" s="2"/>
    </row>
    <row r="668" ht="12.75" customHeight="1">
      <c r="A668" s="1"/>
      <c r="B668" s="1"/>
      <c r="L668" s="72"/>
      <c r="S668" s="72"/>
      <c r="T668" s="72"/>
      <c r="U668" s="81"/>
      <c r="V668" s="81"/>
      <c r="AA668" s="2"/>
    </row>
    <row r="669" ht="12.75" customHeight="1">
      <c r="A669" s="1"/>
      <c r="B669" s="1"/>
      <c r="L669" s="72"/>
      <c r="S669" s="72"/>
      <c r="T669" s="72"/>
      <c r="U669" s="81"/>
      <c r="V669" s="81"/>
      <c r="AA669" s="2"/>
    </row>
    <row r="670" ht="12.75" customHeight="1">
      <c r="A670" s="1"/>
      <c r="B670" s="1"/>
      <c r="L670" s="72"/>
      <c r="S670" s="72"/>
      <c r="T670" s="72"/>
      <c r="U670" s="81"/>
      <c r="V670" s="81"/>
      <c r="AA670" s="2"/>
    </row>
    <row r="671" ht="12.75" customHeight="1">
      <c r="A671" s="1"/>
      <c r="B671" s="1"/>
      <c r="L671" s="72"/>
      <c r="S671" s="72"/>
      <c r="T671" s="72"/>
      <c r="U671" s="81"/>
      <c r="V671" s="81"/>
      <c r="AA671" s="2"/>
    </row>
    <row r="672" ht="12.75" customHeight="1">
      <c r="A672" s="1"/>
      <c r="B672" s="1"/>
      <c r="L672" s="72"/>
      <c r="S672" s="72"/>
      <c r="T672" s="72"/>
      <c r="U672" s="81"/>
      <c r="V672" s="81"/>
      <c r="AA672" s="2"/>
    </row>
    <row r="673" ht="12.75" customHeight="1">
      <c r="A673" s="1"/>
      <c r="B673" s="1"/>
      <c r="L673" s="72"/>
      <c r="S673" s="72"/>
      <c r="T673" s="72"/>
      <c r="U673" s="81"/>
      <c r="V673" s="81"/>
      <c r="AA673" s="2"/>
    </row>
    <row r="674" ht="12.75" customHeight="1">
      <c r="A674" s="1"/>
      <c r="B674" s="1"/>
      <c r="L674" s="72"/>
      <c r="S674" s="72"/>
      <c r="T674" s="72"/>
      <c r="U674" s="81"/>
      <c r="V674" s="81"/>
      <c r="AA674" s="2"/>
    </row>
    <row r="675" ht="12.75" customHeight="1">
      <c r="A675" s="1"/>
      <c r="B675" s="1"/>
      <c r="L675" s="72"/>
      <c r="S675" s="72"/>
      <c r="T675" s="72"/>
      <c r="U675" s="81"/>
      <c r="V675" s="81"/>
      <c r="AA675" s="2"/>
    </row>
    <row r="676" ht="12.75" customHeight="1">
      <c r="A676" s="1"/>
      <c r="B676" s="1"/>
      <c r="L676" s="72"/>
      <c r="S676" s="72"/>
      <c r="T676" s="72"/>
      <c r="U676" s="81"/>
      <c r="V676" s="81"/>
      <c r="AA676" s="2"/>
    </row>
    <row r="677" ht="12.75" customHeight="1">
      <c r="A677" s="1"/>
      <c r="B677" s="1"/>
      <c r="L677" s="72"/>
      <c r="S677" s="72"/>
      <c r="T677" s="72"/>
      <c r="U677" s="81"/>
      <c r="V677" s="81"/>
      <c r="AA677" s="2"/>
    </row>
    <row r="678" ht="12.75" customHeight="1">
      <c r="A678" s="1"/>
      <c r="B678" s="1"/>
      <c r="L678" s="72"/>
      <c r="S678" s="72"/>
      <c r="T678" s="72"/>
      <c r="U678" s="81"/>
      <c r="V678" s="81"/>
      <c r="AA678" s="2"/>
    </row>
    <row r="679" ht="12.75" customHeight="1">
      <c r="A679" s="1"/>
      <c r="B679" s="1"/>
      <c r="L679" s="72"/>
      <c r="S679" s="72"/>
      <c r="T679" s="72"/>
      <c r="U679" s="81"/>
      <c r="V679" s="81"/>
      <c r="AA679" s="2"/>
    </row>
    <row r="680" ht="12.75" customHeight="1">
      <c r="A680" s="1"/>
      <c r="B680" s="1"/>
      <c r="L680" s="72"/>
      <c r="S680" s="72"/>
      <c r="T680" s="72"/>
      <c r="U680" s="81"/>
      <c r="V680" s="81"/>
      <c r="AA680" s="2"/>
    </row>
    <row r="681" ht="12.75" customHeight="1">
      <c r="A681" s="1"/>
      <c r="B681" s="1"/>
      <c r="L681" s="72"/>
      <c r="S681" s="72"/>
      <c r="T681" s="72"/>
      <c r="U681" s="81"/>
      <c r="V681" s="81"/>
      <c r="AA681" s="2"/>
    </row>
    <row r="682" ht="12.75" customHeight="1">
      <c r="A682" s="1"/>
      <c r="B682" s="1"/>
      <c r="L682" s="72"/>
      <c r="S682" s="72"/>
      <c r="T682" s="72"/>
      <c r="U682" s="81"/>
      <c r="V682" s="81"/>
      <c r="AA682" s="2"/>
    </row>
    <row r="683" ht="12.75" customHeight="1">
      <c r="A683" s="1"/>
      <c r="B683" s="1"/>
      <c r="L683" s="72"/>
      <c r="S683" s="72"/>
      <c r="T683" s="72"/>
      <c r="U683" s="81"/>
      <c r="V683" s="81"/>
      <c r="AA683" s="2"/>
    </row>
    <row r="684" ht="12.75" customHeight="1">
      <c r="A684" s="1"/>
      <c r="B684" s="1"/>
      <c r="L684" s="72"/>
      <c r="S684" s="72"/>
      <c r="T684" s="72"/>
      <c r="U684" s="81"/>
      <c r="V684" s="81"/>
      <c r="AA684" s="2"/>
    </row>
    <row r="685" ht="12.75" customHeight="1">
      <c r="A685" s="1"/>
      <c r="B685" s="1"/>
      <c r="L685" s="72"/>
      <c r="S685" s="72"/>
      <c r="T685" s="72"/>
      <c r="U685" s="81"/>
      <c r="V685" s="81"/>
      <c r="AA685" s="2"/>
    </row>
    <row r="686" ht="12.75" customHeight="1">
      <c r="A686" s="1"/>
      <c r="B686" s="1"/>
      <c r="L686" s="72"/>
      <c r="S686" s="72"/>
      <c r="T686" s="72"/>
      <c r="U686" s="81"/>
      <c r="V686" s="81"/>
      <c r="AA686" s="2"/>
    </row>
    <row r="687" ht="12.75" customHeight="1">
      <c r="A687" s="1"/>
      <c r="B687" s="1"/>
      <c r="L687" s="72"/>
      <c r="S687" s="72"/>
      <c r="T687" s="72"/>
      <c r="U687" s="81"/>
      <c r="V687" s="81"/>
      <c r="AA687" s="2"/>
    </row>
    <row r="688" ht="12.75" customHeight="1">
      <c r="A688" s="1"/>
      <c r="B688" s="1"/>
      <c r="L688" s="72"/>
      <c r="S688" s="72"/>
      <c r="T688" s="72"/>
      <c r="U688" s="81"/>
      <c r="V688" s="81"/>
      <c r="AA688" s="2"/>
    </row>
    <row r="689" ht="12.75" customHeight="1">
      <c r="A689" s="1"/>
      <c r="B689" s="1"/>
      <c r="L689" s="72"/>
      <c r="S689" s="72"/>
      <c r="T689" s="72"/>
      <c r="U689" s="81"/>
      <c r="V689" s="81"/>
      <c r="AA689" s="2"/>
    </row>
    <row r="690" ht="12.75" customHeight="1">
      <c r="A690" s="1"/>
      <c r="B690" s="1"/>
      <c r="L690" s="72"/>
      <c r="S690" s="72"/>
      <c r="T690" s="72"/>
      <c r="U690" s="81"/>
      <c r="V690" s="81"/>
      <c r="AA690" s="2"/>
    </row>
    <row r="691" ht="12.75" customHeight="1">
      <c r="A691" s="1"/>
      <c r="B691" s="1"/>
      <c r="L691" s="72"/>
      <c r="S691" s="72"/>
      <c r="T691" s="72"/>
      <c r="U691" s="81"/>
      <c r="V691" s="81"/>
      <c r="AA691" s="2"/>
    </row>
    <row r="692" ht="12.75" customHeight="1">
      <c r="A692" s="1"/>
      <c r="B692" s="1"/>
      <c r="L692" s="72"/>
      <c r="S692" s="72"/>
      <c r="T692" s="72"/>
      <c r="U692" s="81"/>
      <c r="V692" s="81"/>
      <c r="AA692" s="2"/>
    </row>
    <row r="693" ht="12.75" customHeight="1">
      <c r="A693" s="1"/>
      <c r="B693" s="1"/>
      <c r="L693" s="72"/>
      <c r="S693" s="72"/>
      <c r="T693" s="72"/>
      <c r="U693" s="81"/>
      <c r="V693" s="81"/>
      <c r="AA693" s="2"/>
    </row>
    <row r="694" ht="12.75" customHeight="1">
      <c r="A694" s="1"/>
      <c r="B694" s="1"/>
      <c r="L694" s="72"/>
      <c r="S694" s="72"/>
      <c r="T694" s="72"/>
      <c r="U694" s="81"/>
      <c r="V694" s="81"/>
      <c r="AA694" s="2"/>
    </row>
    <row r="695" ht="12.75" customHeight="1">
      <c r="A695" s="1"/>
      <c r="B695" s="1"/>
      <c r="L695" s="72"/>
      <c r="S695" s="72"/>
      <c r="T695" s="72"/>
      <c r="U695" s="81"/>
      <c r="V695" s="81"/>
      <c r="AA695" s="2"/>
    </row>
    <row r="696" ht="12.75" customHeight="1">
      <c r="A696" s="1"/>
      <c r="B696" s="1"/>
      <c r="L696" s="72"/>
      <c r="S696" s="72"/>
      <c r="T696" s="72"/>
      <c r="U696" s="81"/>
      <c r="V696" s="81"/>
      <c r="AA696" s="2"/>
    </row>
    <row r="697" ht="12.75" customHeight="1">
      <c r="A697" s="1"/>
      <c r="B697" s="1"/>
      <c r="L697" s="72"/>
      <c r="S697" s="72"/>
      <c r="T697" s="72"/>
      <c r="U697" s="81"/>
      <c r="V697" s="81"/>
      <c r="AA697" s="2"/>
    </row>
    <row r="698" ht="12.75" customHeight="1">
      <c r="A698" s="1"/>
      <c r="B698" s="1"/>
      <c r="L698" s="72"/>
      <c r="S698" s="72"/>
      <c r="T698" s="72"/>
      <c r="U698" s="81"/>
      <c r="V698" s="81"/>
      <c r="AA698" s="2"/>
    </row>
    <row r="699" ht="12.75" customHeight="1">
      <c r="A699" s="1"/>
      <c r="B699" s="1"/>
      <c r="L699" s="72"/>
      <c r="S699" s="72"/>
      <c r="T699" s="72"/>
      <c r="U699" s="81"/>
      <c r="V699" s="81"/>
      <c r="AA699" s="2"/>
    </row>
    <row r="700" ht="12.75" customHeight="1">
      <c r="A700" s="1"/>
      <c r="B700" s="1"/>
      <c r="L700" s="72"/>
      <c r="S700" s="72"/>
      <c r="T700" s="72"/>
      <c r="U700" s="81"/>
      <c r="V700" s="81"/>
      <c r="AA700" s="2"/>
    </row>
    <row r="701" ht="12.75" customHeight="1">
      <c r="A701" s="1"/>
      <c r="B701" s="1"/>
      <c r="L701" s="72"/>
      <c r="S701" s="72"/>
      <c r="T701" s="72"/>
      <c r="U701" s="81"/>
      <c r="V701" s="81"/>
      <c r="AA701" s="2"/>
    </row>
    <row r="702" ht="12.75" customHeight="1">
      <c r="A702" s="1"/>
      <c r="B702" s="1"/>
      <c r="L702" s="72"/>
      <c r="S702" s="72"/>
      <c r="T702" s="72"/>
      <c r="U702" s="81"/>
      <c r="V702" s="81"/>
      <c r="AA702" s="2"/>
    </row>
    <row r="703" ht="12.75" customHeight="1">
      <c r="A703" s="1"/>
      <c r="B703" s="1"/>
      <c r="L703" s="72"/>
      <c r="S703" s="72"/>
      <c r="T703" s="72"/>
      <c r="U703" s="81"/>
      <c r="V703" s="81"/>
      <c r="AA703" s="2"/>
    </row>
    <row r="704" ht="12.75" customHeight="1">
      <c r="A704" s="1"/>
      <c r="B704" s="1"/>
      <c r="L704" s="72"/>
      <c r="S704" s="72"/>
      <c r="T704" s="72"/>
      <c r="U704" s="81"/>
      <c r="V704" s="81"/>
      <c r="AA704" s="2"/>
    </row>
    <row r="705" ht="12.75" customHeight="1">
      <c r="A705" s="1"/>
      <c r="B705" s="1"/>
      <c r="L705" s="72"/>
      <c r="S705" s="72"/>
      <c r="T705" s="72"/>
      <c r="U705" s="81"/>
      <c r="V705" s="81"/>
      <c r="AA705" s="2"/>
    </row>
    <row r="706" ht="12.75" customHeight="1">
      <c r="A706" s="1"/>
      <c r="B706" s="1"/>
      <c r="L706" s="72"/>
      <c r="S706" s="72"/>
      <c r="T706" s="72"/>
      <c r="U706" s="81"/>
      <c r="V706" s="81"/>
      <c r="AA706" s="2"/>
    </row>
    <row r="707" ht="12.75" customHeight="1">
      <c r="A707" s="1"/>
      <c r="B707" s="1"/>
      <c r="L707" s="72"/>
      <c r="S707" s="72"/>
      <c r="T707" s="72"/>
      <c r="U707" s="81"/>
      <c r="V707" s="81"/>
      <c r="AA707" s="2"/>
    </row>
    <row r="708" ht="12.75" customHeight="1">
      <c r="A708" s="1"/>
      <c r="B708" s="1"/>
      <c r="L708" s="72"/>
      <c r="S708" s="72"/>
      <c r="T708" s="72"/>
      <c r="U708" s="81"/>
      <c r="V708" s="81"/>
      <c r="AA708" s="2"/>
    </row>
    <row r="709" ht="12.75" customHeight="1">
      <c r="A709" s="1"/>
      <c r="B709" s="1"/>
      <c r="L709" s="72"/>
      <c r="S709" s="72"/>
      <c r="T709" s="72"/>
      <c r="U709" s="81"/>
      <c r="V709" s="81"/>
      <c r="AA709" s="2"/>
    </row>
    <row r="710" ht="12.75" customHeight="1">
      <c r="A710" s="1"/>
      <c r="B710" s="1"/>
      <c r="L710" s="72"/>
      <c r="S710" s="72"/>
      <c r="T710" s="72"/>
      <c r="U710" s="81"/>
      <c r="V710" s="81"/>
      <c r="AA710" s="2"/>
    </row>
    <row r="711" ht="12.75" customHeight="1">
      <c r="A711" s="1"/>
      <c r="B711" s="1"/>
      <c r="L711" s="72"/>
      <c r="S711" s="72"/>
      <c r="T711" s="72"/>
      <c r="U711" s="81"/>
      <c r="V711" s="81"/>
      <c r="AA711" s="2"/>
    </row>
    <row r="712" ht="12.75" customHeight="1">
      <c r="A712" s="1"/>
      <c r="B712" s="1"/>
      <c r="L712" s="72"/>
      <c r="S712" s="72"/>
      <c r="T712" s="72"/>
      <c r="U712" s="81"/>
      <c r="V712" s="81"/>
      <c r="AA712" s="2"/>
    </row>
    <row r="713" ht="12.75" customHeight="1">
      <c r="A713" s="1"/>
      <c r="B713" s="1"/>
      <c r="L713" s="72"/>
      <c r="S713" s="72"/>
      <c r="T713" s="72"/>
      <c r="U713" s="81"/>
      <c r="V713" s="81"/>
      <c r="AA713" s="2"/>
    </row>
    <row r="714" ht="12.75" customHeight="1">
      <c r="A714" s="1"/>
      <c r="B714" s="1"/>
      <c r="L714" s="72"/>
      <c r="S714" s="72"/>
      <c r="T714" s="72"/>
      <c r="U714" s="81"/>
      <c r="V714" s="81"/>
      <c r="AA714" s="2"/>
    </row>
    <row r="715" ht="12.75" customHeight="1">
      <c r="A715" s="1"/>
      <c r="B715" s="1"/>
      <c r="L715" s="72"/>
      <c r="S715" s="72"/>
      <c r="T715" s="72"/>
      <c r="U715" s="81"/>
      <c r="V715" s="81"/>
      <c r="AA715" s="2"/>
    </row>
    <row r="716" ht="12.75" customHeight="1">
      <c r="A716" s="1"/>
      <c r="B716" s="1"/>
      <c r="L716" s="72"/>
      <c r="S716" s="72"/>
      <c r="T716" s="72"/>
      <c r="U716" s="81"/>
      <c r="V716" s="81"/>
      <c r="AA716" s="2"/>
    </row>
    <row r="717" ht="12.75" customHeight="1">
      <c r="A717" s="1"/>
      <c r="B717" s="1"/>
      <c r="L717" s="72"/>
      <c r="S717" s="72"/>
      <c r="T717" s="72"/>
      <c r="U717" s="81"/>
      <c r="V717" s="81"/>
      <c r="AA717" s="2"/>
    </row>
    <row r="718" ht="12.75" customHeight="1">
      <c r="A718" s="1"/>
      <c r="B718" s="1"/>
      <c r="L718" s="72"/>
      <c r="S718" s="72"/>
      <c r="T718" s="72"/>
      <c r="U718" s="81"/>
      <c r="V718" s="81"/>
      <c r="AA718" s="2"/>
    </row>
    <row r="719" ht="12.75" customHeight="1">
      <c r="A719" s="1"/>
      <c r="B719" s="1"/>
      <c r="L719" s="72"/>
      <c r="S719" s="72"/>
      <c r="T719" s="72"/>
      <c r="U719" s="81"/>
      <c r="V719" s="81"/>
      <c r="AA719" s="2"/>
    </row>
    <row r="720" ht="12.75" customHeight="1">
      <c r="A720" s="1"/>
      <c r="B720" s="1"/>
      <c r="L720" s="72"/>
      <c r="S720" s="72"/>
      <c r="T720" s="72"/>
      <c r="U720" s="81"/>
      <c r="V720" s="81"/>
      <c r="AA720" s="2"/>
    </row>
    <row r="721" ht="12.75" customHeight="1">
      <c r="A721" s="1"/>
      <c r="B721" s="1"/>
      <c r="L721" s="72"/>
      <c r="S721" s="72"/>
      <c r="T721" s="72"/>
      <c r="U721" s="81"/>
      <c r="V721" s="81"/>
      <c r="AA721" s="2"/>
    </row>
    <row r="722" ht="12.75" customHeight="1">
      <c r="A722" s="1"/>
      <c r="B722" s="1"/>
      <c r="L722" s="72"/>
      <c r="S722" s="72"/>
      <c r="T722" s="72"/>
      <c r="U722" s="81"/>
      <c r="V722" s="81"/>
      <c r="AA722" s="2"/>
    </row>
    <row r="723" ht="12.75" customHeight="1">
      <c r="A723" s="1"/>
      <c r="B723" s="1"/>
      <c r="L723" s="72"/>
      <c r="S723" s="72"/>
      <c r="T723" s="72"/>
      <c r="U723" s="81"/>
      <c r="V723" s="81"/>
      <c r="AA723" s="2"/>
    </row>
    <row r="724" ht="12.75" customHeight="1">
      <c r="A724" s="1"/>
      <c r="B724" s="1"/>
      <c r="L724" s="72"/>
      <c r="S724" s="72"/>
      <c r="T724" s="72"/>
      <c r="U724" s="81"/>
      <c r="V724" s="81"/>
      <c r="AA724" s="2"/>
    </row>
    <row r="725" ht="12.75" customHeight="1">
      <c r="A725" s="1"/>
      <c r="B725" s="1"/>
      <c r="L725" s="72"/>
      <c r="S725" s="72"/>
      <c r="T725" s="72"/>
      <c r="U725" s="81"/>
      <c r="V725" s="81"/>
      <c r="AA725" s="2"/>
    </row>
    <row r="726" ht="12.75" customHeight="1">
      <c r="A726" s="1"/>
      <c r="B726" s="1"/>
      <c r="L726" s="72"/>
      <c r="S726" s="72"/>
      <c r="T726" s="72"/>
      <c r="U726" s="81"/>
      <c r="V726" s="81"/>
      <c r="AA726" s="2"/>
    </row>
    <row r="727" ht="12.75" customHeight="1">
      <c r="A727" s="1"/>
      <c r="B727" s="1"/>
      <c r="L727" s="72"/>
      <c r="S727" s="72"/>
      <c r="T727" s="72"/>
      <c r="U727" s="81"/>
      <c r="V727" s="81"/>
      <c r="AA727" s="2"/>
    </row>
    <row r="728" ht="12.75" customHeight="1">
      <c r="A728" s="1"/>
      <c r="B728" s="1"/>
      <c r="L728" s="72"/>
      <c r="S728" s="72"/>
      <c r="T728" s="72"/>
      <c r="U728" s="81"/>
      <c r="V728" s="81"/>
      <c r="AA728" s="2"/>
    </row>
    <row r="729" ht="12.75" customHeight="1">
      <c r="A729" s="1"/>
      <c r="B729" s="1"/>
      <c r="L729" s="72"/>
      <c r="S729" s="72"/>
      <c r="T729" s="72"/>
      <c r="U729" s="81"/>
      <c r="V729" s="81"/>
      <c r="AA729" s="2"/>
    </row>
    <row r="730" ht="12.75" customHeight="1">
      <c r="A730" s="1"/>
      <c r="B730" s="1"/>
      <c r="L730" s="72"/>
      <c r="S730" s="72"/>
      <c r="T730" s="72"/>
      <c r="U730" s="81"/>
      <c r="V730" s="81"/>
      <c r="AA730" s="2"/>
    </row>
    <row r="731" ht="12.75" customHeight="1">
      <c r="A731" s="1"/>
      <c r="B731" s="1"/>
      <c r="L731" s="72"/>
      <c r="S731" s="72"/>
      <c r="T731" s="72"/>
      <c r="U731" s="81"/>
      <c r="V731" s="81"/>
      <c r="AA731" s="2"/>
    </row>
    <row r="732" ht="12.75" customHeight="1">
      <c r="A732" s="1"/>
      <c r="B732" s="1"/>
      <c r="L732" s="72"/>
      <c r="S732" s="72"/>
      <c r="T732" s="72"/>
      <c r="U732" s="81"/>
      <c r="V732" s="81"/>
      <c r="AA732" s="2"/>
    </row>
    <row r="733" ht="12.75" customHeight="1">
      <c r="A733" s="1"/>
      <c r="B733" s="1"/>
      <c r="L733" s="72"/>
      <c r="S733" s="72"/>
      <c r="T733" s="72"/>
      <c r="U733" s="81"/>
      <c r="V733" s="81"/>
      <c r="AA733" s="2"/>
    </row>
    <row r="734" ht="12.75" customHeight="1">
      <c r="A734" s="1"/>
      <c r="B734" s="1"/>
      <c r="L734" s="72"/>
      <c r="S734" s="72"/>
      <c r="T734" s="72"/>
      <c r="U734" s="81"/>
      <c r="V734" s="81"/>
      <c r="AA734" s="2"/>
    </row>
    <row r="735" ht="12.75" customHeight="1">
      <c r="A735" s="1"/>
      <c r="B735" s="1"/>
      <c r="L735" s="72"/>
      <c r="S735" s="72"/>
      <c r="T735" s="72"/>
      <c r="U735" s="81"/>
      <c r="V735" s="81"/>
      <c r="AA735" s="2"/>
    </row>
    <row r="736" ht="12.75" customHeight="1">
      <c r="A736" s="1"/>
      <c r="B736" s="1"/>
      <c r="L736" s="72"/>
      <c r="S736" s="72"/>
      <c r="T736" s="72"/>
      <c r="U736" s="81"/>
      <c r="V736" s="81"/>
      <c r="AA736" s="2"/>
    </row>
    <row r="737" ht="12.75" customHeight="1">
      <c r="A737" s="1"/>
      <c r="B737" s="1"/>
      <c r="L737" s="72"/>
      <c r="S737" s="72"/>
      <c r="T737" s="72"/>
      <c r="U737" s="81"/>
      <c r="V737" s="81"/>
      <c r="AA737" s="2"/>
    </row>
    <row r="738" ht="12.75" customHeight="1">
      <c r="A738" s="1"/>
      <c r="B738" s="1"/>
      <c r="L738" s="72"/>
      <c r="S738" s="72"/>
      <c r="T738" s="72"/>
      <c r="U738" s="81"/>
      <c r="V738" s="81"/>
      <c r="AA738" s="2"/>
    </row>
    <row r="739" ht="12.75" customHeight="1">
      <c r="A739" s="1"/>
      <c r="B739" s="1"/>
      <c r="L739" s="72"/>
      <c r="S739" s="72"/>
      <c r="T739" s="72"/>
      <c r="U739" s="81"/>
      <c r="V739" s="81"/>
      <c r="AA739" s="2"/>
    </row>
    <row r="740" ht="12.75" customHeight="1">
      <c r="A740" s="1"/>
      <c r="B740" s="1"/>
      <c r="L740" s="72"/>
      <c r="S740" s="72"/>
      <c r="T740" s="72"/>
      <c r="U740" s="81"/>
      <c r="V740" s="81"/>
      <c r="AA740" s="2"/>
    </row>
    <row r="741" ht="12.75" customHeight="1">
      <c r="A741" s="1"/>
      <c r="B741" s="1"/>
      <c r="L741" s="72"/>
      <c r="S741" s="72"/>
      <c r="T741" s="72"/>
      <c r="U741" s="81"/>
      <c r="V741" s="81"/>
      <c r="AA741" s="2"/>
    </row>
    <row r="742" ht="12.75" customHeight="1">
      <c r="A742" s="1"/>
      <c r="B742" s="1"/>
      <c r="L742" s="72"/>
      <c r="S742" s="72"/>
      <c r="T742" s="72"/>
      <c r="U742" s="81"/>
      <c r="V742" s="81"/>
      <c r="AA742" s="2"/>
    </row>
    <row r="743" ht="12.75" customHeight="1">
      <c r="A743" s="1"/>
      <c r="B743" s="1"/>
      <c r="L743" s="72"/>
      <c r="S743" s="72"/>
      <c r="T743" s="72"/>
      <c r="U743" s="81"/>
      <c r="V743" s="81"/>
      <c r="AA743" s="2"/>
    </row>
    <row r="744" ht="12.75" customHeight="1">
      <c r="A744" s="1"/>
      <c r="B744" s="1"/>
      <c r="L744" s="72"/>
      <c r="S744" s="72"/>
      <c r="T744" s="72"/>
      <c r="U744" s="81"/>
      <c r="V744" s="81"/>
      <c r="AA744" s="2"/>
    </row>
    <row r="745" ht="12.75" customHeight="1">
      <c r="A745" s="1"/>
      <c r="B745" s="1"/>
      <c r="L745" s="72"/>
      <c r="S745" s="72"/>
      <c r="T745" s="72"/>
      <c r="U745" s="81"/>
      <c r="V745" s="81"/>
      <c r="AA745" s="2"/>
    </row>
    <row r="746" ht="12.75" customHeight="1">
      <c r="A746" s="1"/>
      <c r="B746" s="1"/>
      <c r="L746" s="72"/>
      <c r="S746" s="72"/>
      <c r="T746" s="72"/>
      <c r="U746" s="81"/>
      <c r="V746" s="81"/>
      <c r="AA746" s="2"/>
    </row>
    <row r="747" ht="12.75" customHeight="1">
      <c r="A747" s="1"/>
      <c r="B747" s="1"/>
      <c r="L747" s="72"/>
      <c r="S747" s="72"/>
      <c r="T747" s="72"/>
      <c r="U747" s="81"/>
      <c r="V747" s="81"/>
      <c r="AA747" s="2"/>
    </row>
    <row r="748" ht="12.75" customHeight="1">
      <c r="A748" s="1"/>
      <c r="B748" s="1"/>
      <c r="L748" s="72"/>
      <c r="S748" s="72"/>
      <c r="T748" s="72"/>
      <c r="U748" s="81"/>
      <c r="V748" s="81"/>
      <c r="AA748" s="2"/>
    </row>
    <row r="749" ht="12.75" customHeight="1">
      <c r="A749" s="1"/>
      <c r="B749" s="1"/>
      <c r="L749" s="72"/>
      <c r="S749" s="72"/>
      <c r="T749" s="72"/>
      <c r="U749" s="81"/>
      <c r="V749" s="81"/>
      <c r="AA749" s="2"/>
    </row>
    <row r="750" ht="12.75" customHeight="1">
      <c r="A750" s="1"/>
      <c r="B750" s="1"/>
      <c r="L750" s="72"/>
      <c r="S750" s="72"/>
      <c r="T750" s="72"/>
      <c r="U750" s="81"/>
      <c r="V750" s="81"/>
      <c r="AA750" s="2"/>
    </row>
    <row r="751" ht="12.75" customHeight="1">
      <c r="A751" s="1"/>
      <c r="B751" s="1"/>
      <c r="L751" s="72"/>
      <c r="S751" s="72"/>
      <c r="T751" s="72"/>
      <c r="U751" s="81"/>
      <c r="V751" s="81"/>
      <c r="AA751" s="2"/>
    </row>
    <row r="752" ht="12.75" customHeight="1">
      <c r="A752" s="1"/>
      <c r="B752" s="1"/>
      <c r="L752" s="72"/>
      <c r="S752" s="72"/>
      <c r="T752" s="72"/>
      <c r="U752" s="81"/>
      <c r="V752" s="81"/>
      <c r="AA752" s="2"/>
    </row>
    <row r="753" ht="12.75" customHeight="1">
      <c r="A753" s="1"/>
      <c r="B753" s="1"/>
      <c r="L753" s="72"/>
      <c r="S753" s="72"/>
      <c r="T753" s="72"/>
      <c r="U753" s="81"/>
      <c r="V753" s="81"/>
      <c r="AA753" s="2"/>
    </row>
    <row r="754" ht="12.75" customHeight="1">
      <c r="A754" s="1"/>
      <c r="B754" s="1"/>
      <c r="L754" s="72"/>
      <c r="S754" s="72"/>
      <c r="T754" s="72"/>
      <c r="U754" s="81"/>
      <c r="V754" s="81"/>
      <c r="AA754" s="2"/>
    </row>
    <row r="755" ht="12.75" customHeight="1">
      <c r="A755" s="1"/>
      <c r="B755" s="1"/>
      <c r="L755" s="72"/>
      <c r="S755" s="72"/>
      <c r="T755" s="72"/>
      <c r="U755" s="81"/>
      <c r="V755" s="81"/>
      <c r="AA755" s="2"/>
    </row>
    <row r="756" ht="12.75" customHeight="1">
      <c r="A756" s="1"/>
      <c r="B756" s="1"/>
      <c r="L756" s="72"/>
      <c r="S756" s="72"/>
      <c r="T756" s="72"/>
      <c r="U756" s="81"/>
      <c r="V756" s="81"/>
      <c r="AA756" s="2"/>
    </row>
    <row r="757" ht="12.75" customHeight="1">
      <c r="A757" s="1"/>
      <c r="B757" s="1"/>
      <c r="L757" s="72"/>
      <c r="S757" s="72"/>
      <c r="T757" s="72"/>
      <c r="U757" s="81"/>
      <c r="V757" s="81"/>
      <c r="AA757" s="2"/>
    </row>
    <row r="758" ht="12.75" customHeight="1">
      <c r="A758" s="1"/>
      <c r="B758" s="1"/>
      <c r="L758" s="72"/>
      <c r="S758" s="72"/>
      <c r="T758" s="72"/>
      <c r="U758" s="81"/>
      <c r="V758" s="81"/>
      <c r="AA758" s="2"/>
    </row>
    <row r="759" ht="12.75" customHeight="1">
      <c r="A759" s="1"/>
      <c r="B759" s="1"/>
      <c r="L759" s="72"/>
      <c r="S759" s="72"/>
      <c r="T759" s="72"/>
      <c r="U759" s="81"/>
      <c r="V759" s="81"/>
      <c r="AA759" s="2"/>
    </row>
    <row r="760" ht="12.75" customHeight="1">
      <c r="A760" s="1"/>
      <c r="B760" s="1"/>
      <c r="L760" s="72"/>
      <c r="S760" s="72"/>
      <c r="T760" s="72"/>
      <c r="U760" s="81"/>
      <c r="V760" s="81"/>
      <c r="AA760" s="2"/>
    </row>
    <row r="761" ht="12.75" customHeight="1">
      <c r="A761" s="1"/>
      <c r="B761" s="1"/>
      <c r="L761" s="72"/>
      <c r="S761" s="72"/>
      <c r="T761" s="72"/>
      <c r="U761" s="81"/>
      <c r="V761" s="81"/>
      <c r="AA761" s="2"/>
    </row>
    <row r="762" ht="12.75" customHeight="1">
      <c r="A762" s="1"/>
      <c r="B762" s="1"/>
      <c r="L762" s="72"/>
      <c r="S762" s="72"/>
      <c r="T762" s="72"/>
      <c r="U762" s="81"/>
      <c r="V762" s="81"/>
      <c r="AA762" s="2"/>
    </row>
    <row r="763" ht="12.75" customHeight="1">
      <c r="A763" s="1"/>
      <c r="B763" s="1"/>
      <c r="L763" s="72"/>
      <c r="S763" s="72"/>
      <c r="T763" s="72"/>
      <c r="U763" s="81"/>
      <c r="V763" s="81"/>
      <c r="AA763" s="2"/>
    </row>
    <row r="764" ht="12.75" customHeight="1">
      <c r="A764" s="1"/>
      <c r="B764" s="1"/>
      <c r="L764" s="72"/>
      <c r="S764" s="72"/>
      <c r="T764" s="72"/>
      <c r="U764" s="81"/>
      <c r="V764" s="81"/>
      <c r="AA764" s="2"/>
    </row>
    <row r="765" ht="12.75" customHeight="1">
      <c r="A765" s="1"/>
      <c r="B765" s="1"/>
      <c r="L765" s="72"/>
      <c r="S765" s="72"/>
      <c r="T765" s="72"/>
      <c r="U765" s="81"/>
      <c r="V765" s="81"/>
      <c r="AA765" s="2"/>
    </row>
    <row r="766" ht="12.75" customHeight="1">
      <c r="A766" s="1"/>
      <c r="B766" s="1"/>
      <c r="L766" s="72"/>
      <c r="S766" s="72"/>
      <c r="T766" s="72"/>
      <c r="U766" s="81"/>
      <c r="V766" s="81"/>
      <c r="AA766" s="2"/>
    </row>
    <row r="767" ht="12.75" customHeight="1">
      <c r="A767" s="1"/>
      <c r="B767" s="1"/>
      <c r="L767" s="72"/>
      <c r="S767" s="72"/>
      <c r="T767" s="72"/>
      <c r="U767" s="81"/>
      <c r="V767" s="81"/>
      <c r="AA767" s="2"/>
    </row>
    <row r="768" ht="12.75" customHeight="1">
      <c r="A768" s="1"/>
      <c r="B768" s="1"/>
      <c r="L768" s="72"/>
      <c r="S768" s="72"/>
      <c r="T768" s="72"/>
      <c r="U768" s="81"/>
      <c r="V768" s="81"/>
      <c r="AA768" s="2"/>
    </row>
    <row r="769" ht="12.75" customHeight="1">
      <c r="A769" s="1"/>
      <c r="B769" s="1"/>
      <c r="L769" s="72"/>
      <c r="S769" s="72"/>
      <c r="T769" s="72"/>
      <c r="U769" s="81"/>
      <c r="V769" s="81"/>
      <c r="AA769" s="2"/>
    </row>
    <row r="770" ht="12.75" customHeight="1">
      <c r="A770" s="1"/>
      <c r="B770" s="1"/>
      <c r="L770" s="72"/>
      <c r="S770" s="72"/>
      <c r="T770" s="72"/>
      <c r="U770" s="81"/>
      <c r="V770" s="81"/>
      <c r="AA770" s="2"/>
    </row>
    <row r="771" ht="12.75" customHeight="1">
      <c r="A771" s="1"/>
      <c r="B771" s="1"/>
      <c r="L771" s="72"/>
      <c r="S771" s="72"/>
      <c r="T771" s="72"/>
      <c r="U771" s="81"/>
      <c r="V771" s="81"/>
      <c r="AA771" s="2"/>
    </row>
    <row r="772" ht="12.75" customHeight="1">
      <c r="A772" s="1"/>
      <c r="B772" s="1"/>
      <c r="L772" s="72"/>
      <c r="S772" s="72"/>
      <c r="T772" s="72"/>
      <c r="U772" s="81"/>
      <c r="V772" s="81"/>
      <c r="AA772" s="2"/>
    </row>
    <row r="773" ht="12.75" customHeight="1">
      <c r="A773" s="1"/>
      <c r="B773" s="1"/>
      <c r="L773" s="72"/>
      <c r="S773" s="72"/>
      <c r="T773" s="72"/>
      <c r="U773" s="81"/>
      <c r="V773" s="81"/>
      <c r="AA773" s="2"/>
    </row>
    <row r="774" ht="12.75" customHeight="1">
      <c r="A774" s="1"/>
      <c r="B774" s="1"/>
      <c r="L774" s="72"/>
      <c r="S774" s="72"/>
      <c r="T774" s="72"/>
      <c r="U774" s="81"/>
      <c r="V774" s="81"/>
      <c r="AA774" s="2"/>
    </row>
    <row r="775" ht="12.75" customHeight="1">
      <c r="A775" s="1"/>
      <c r="B775" s="1"/>
      <c r="L775" s="72"/>
      <c r="S775" s="72"/>
      <c r="T775" s="72"/>
      <c r="U775" s="81"/>
      <c r="V775" s="81"/>
      <c r="AA775" s="2"/>
    </row>
    <row r="776" ht="12.75" customHeight="1">
      <c r="A776" s="1"/>
      <c r="B776" s="1"/>
      <c r="L776" s="72"/>
      <c r="S776" s="72"/>
      <c r="T776" s="72"/>
      <c r="U776" s="81"/>
      <c r="V776" s="81"/>
      <c r="AA776" s="2"/>
    </row>
    <row r="777" ht="12.75" customHeight="1">
      <c r="A777" s="1"/>
      <c r="B777" s="1"/>
      <c r="L777" s="72"/>
      <c r="S777" s="72"/>
      <c r="T777" s="72"/>
      <c r="U777" s="81"/>
      <c r="V777" s="81"/>
      <c r="AA777" s="2"/>
    </row>
    <row r="778" ht="12.75" customHeight="1">
      <c r="A778" s="1"/>
      <c r="B778" s="1"/>
      <c r="L778" s="72"/>
      <c r="S778" s="72"/>
      <c r="T778" s="72"/>
      <c r="U778" s="81"/>
      <c r="V778" s="81"/>
      <c r="AA778" s="2"/>
    </row>
    <row r="779" ht="12.75" customHeight="1">
      <c r="A779" s="1"/>
      <c r="B779" s="1"/>
      <c r="L779" s="72"/>
      <c r="S779" s="72"/>
      <c r="T779" s="72"/>
      <c r="U779" s="81"/>
      <c r="V779" s="81"/>
      <c r="AA779" s="2"/>
    </row>
    <row r="780" ht="12.75" customHeight="1">
      <c r="A780" s="1"/>
      <c r="B780" s="1"/>
      <c r="L780" s="72"/>
      <c r="S780" s="72"/>
      <c r="T780" s="72"/>
      <c r="U780" s="81"/>
      <c r="V780" s="81"/>
      <c r="AA780" s="2"/>
    </row>
    <row r="781" ht="12.75" customHeight="1">
      <c r="A781" s="1"/>
      <c r="B781" s="1"/>
      <c r="L781" s="72"/>
      <c r="S781" s="72"/>
      <c r="T781" s="72"/>
      <c r="U781" s="81"/>
      <c r="V781" s="81"/>
      <c r="AA781" s="2"/>
    </row>
    <row r="782" ht="12.75" customHeight="1">
      <c r="A782" s="1"/>
      <c r="B782" s="1"/>
      <c r="L782" s="72"/>
      <c r="S782" s="72"/>
      <c r="T782" s="72"/>
      <c r="U782" s="81"/>
      <c r="V782" s="81"/>
      <c r="AA782" s="2"/>
    </row>
    <row r="783" ht="12.75" customHeight="1">
      <c r="A783" s="1"/>
      <c r="B783" s="1"/>
      <c r="L783" s="72"/>
      <c r="S783" s="72"/>
      <c r="T783" s="72"/>
      <c r="U783" s="81"/>
      <c r="V783" s="81"/>
      <c r="AA783" s="2"/>
    </row>
    <row r="784" ht="12.75" customHeight="1">
      <c r="A784" s="1"/>
      <c r="B784" s="1"/>
      <c r="L784" s="72"/>
      <c r="S784" s="72"/>
      <c r="T784" s="72"/>
      <c r="U784" s="81"/>
      <c r="V784" s="81"/>
      <c r="AA784" s="2"/>
    </row>
    <row r="785" ht="12.75" customHeight="1">
      <c r="A785" s="1"/>
      <c r="B785" s="1"/>
      <c r="L785" s="72"/>
      <c r="S785" s="72"/>
      <c r="T785" s="72"/>
      <c r="U785" s="81"/>
      <c r="V785" s="81"/>
      <c r="AA785" s="2"/>
    </row>
    <row r="786" ht="12.75" customHeight="1">
      <c r="A786" s="1"/>
      <c r="B786" s="1"/>
      <c r="L786" s="72"/>
      <c r="S786" s="72"/>
      <c r="T786" s="72"/>
      <c r="U786" s="81"/>
      <c r="V786" s="81"/>
      <c r="AA786" s="2"/>
    </row>
    <row r="787" ht="12.75" customHeight="1">
      <c r="A787" s="1"/>
      <c r="B787" s="1"/>
      <c r="L787" s="72"/>
      <c r="S787" s="72"/>
      <c r="T787" s="72"/>
      <c r="U787" s="81"/>
      <c r="V787" s="81"/>
      <c r="AA787" s="2"/>
    </row>
    <row r="788" ht="12.75" customHeight="1">
      <c r="A788" s="1"/>
      <c r="B788" s="1"/>
      <c r="L788" s="72"/>
      <c r="S788" s="72"/>
      <c r="T788" s="72"/>
      <c r="U788" s="81"/>
      <c r="V788" s="81"/>
      <c r="AA788" s="2"/>
    </row>
    <row r="789" ht="12.75" customHeight="1">
      <c r="A789" s="1"/>
      <c r="B789" s="1"/>
      <c r="L789" s="72"/>
      <c r="S789" s="72"/>
      <c r="T789" s="72"/>
      <c r="U789" s="81"/>
      <c r="V789" s="81"/>
      <c r="AA789" s="2"/>
    </row>
    <row r="790" ht="12.75" customHeight="1">
      <c r="A790" s="1"/>
      <c r="B790" s="1"/>
      <c r="L790" s="72"/>
      <c r="S790" s="72"/>
      <c r="T790" s="72"/>
      <c r="U790" s="81"/>
      <c r="V790" s="81"/>
      <c r="AA790" s="2"/>
    </row>
    <row r="791" ht="12.75" customHeight="1">
      <c r="A791" s="1"/>
      <c r="B791" s="1"/>
      <c r="L791" s="72"/>
      <c r="S791" s="72"/>
      <c r="T791" s="72"/>
      <c r="U791" s="81"/>
      <c r="V791" s="81"/>
      <c r="AA791" s="2"/>
    </row>
    <row r="792" ht="12.75" customHeight="1">
      <c r="A792" s="1"/>
      <c r="B792" s="1"/>
      <c r="L792" s="72"/>
      <c r="S792" s="72"/>
      <c r="T792" s="72"/>
      <c r="U792" s="81"/>
      <c r="V792" s="81"/>
      <c r="AA792" s="2"/>
    </row>
    <row r="793" ht="12.75" customHeight="1">
      <c r="A793" s="1"/>
      <c r="B793" s="1"/>
      <c r="L793" s="72"/>
      <c r="S793" s="72"/>
      <c r="T793" s="72"/>
      <c r="U793" s="81"/>
      <c r="V793" s="81"/>
      <c r="AA793" s="2"/>
    </row>
    <row r="794" ht="12.75" customHeight="1">
      <c r="A794" s="1"/>
      <c r="B794" s="1"/>
      <c r="L794" s="72"/>
      <c r="S794" s="72"/>
      <c r="T794" s="72"/>
      <c r="U794" s="81"/>
      <c r="V794" s="81"/>
      <c r="AA794" s="2"/>
    </row>
    <row r="795" ht="12.75" customHeight="1">
      <c r="A795" s="1"/>
      <c r="B795" s="1"/>
      <c r="L795" s="72"/>
      <c r="S795" s="72"/>
      <c r="T795" s="72"/>
      <c r="U795" s="81"/>
      <c r="V795" s="81"/>
      <c r="AA795" s="2"/>
    </row>
    <row r="796" ht="12.75" customHeight="1">
      <c r="A796" s="1"/>
      <c r="B796" s="1"/>
      <c r="L796" s="72"/>
      <c r="S796" s="72"/>
      <c r="T796" s="72"/>
      <c r="U796" s="81"/>
      <c r="V796" s="81"/>
      <c r="AA796" s="2"/>
    </row>
    <row r="797" ht="12.75" customHeight="1">
      <c r="A797" s="1"/>
      <c r="B797" s="1"/>
      <c r="L797" s="72"/>
      <c r="S797" s="72"/>
      <c r="T797" s="72"/>
      <c r="U797" s="81"/>
      <c r="V797" s="81"/>
      <c r="AA797" s="2"/>
    </row>
    <row r="798" ht="12.75" customHeight="1">
      <c r="A798" s="1"/>
      <c r="B798" s="1"/>
      <c r="L798" s="72"/>
      <c r="S798" s="72"/>
      <c r="T798" s="72"/>
      <c r="U798" s="81"/>
      <c r="V798" s="81"/>
      <c r="AA798" s="2"/>
    </row>
    <row r="799" ht="12.75" customHeight="1">
      <c r="A799" s="1"/>
      <c r="B799" s="1"/>
      <c r="L799" s="72"/>
      <c r="S799" s="72"/>
      <c r="T799" s="72"/>
      <c r="U799" s="81"/>
      <c r="V799" s="81"/>
      <c r="AA799" s="2"/>
    </row>
    <row r="800" ht="12.75" customHeight="1">
      <c r="A800" s="1"/>
      <c r="B800" s="1"/>
      <c r="L800" s="72"/>
      <c r="S800" s="72"/>
      <c r="T800" s="72"/>
      <c r="U800" s="81"/>
      <c r="V800" s="81"/>
      <c r="AA800" s="2"/>
    </row>
    <row r="801" ht="12.75" customHeight="1">
      <c r="A801" s="1"/>
      <c r="B801" s="1"/>
      <c r="L801" s="72"/>
      <c r="S801" s="72"/>
      <c r="T801" s="72"/>
      <c r="U801" s="81"/>
      <c r="V801" s="81"/>
      <c r="AA801" s="2"/>
    </row>
    <row r="802" ht="12.75" customHeight="1">
      <c r="A802" s="1"/>
      <c r="B802" s="1"/>
      <c r="L802" s="72"/>
      <c r="S802" s="72"/>
      <c r="T802" s="72"/>
      <c r="U802" s="81"/>
      <c r="V802" s="81"/>
      <c r="AA802" s="2"/>
    </row>
    <row r="803" ht="12.75" customHeight="1">
      <c r="A803" s="1"/>
      <c r="B803" s="1"/>
      <c r="L803" s="72"/>
      <c r="S803" s="72"/>
      <c r="T803" s="72"/>
      <c r="U803" s="81"/>
      <c r="V803" s="81"/>
      <c r="AA803" s="2"/>
    </row>
    <row r="804" ht="12.75" customHeight="1">
      <c r="A804" s="1"/>
      <c r="B804" s="1"/>
      <c r="L804" s="72"/>
      <c r="S804" s="72"/>
      <c r="T804" s="72"/>
      <c r="U804" s="81"/>
      <c r="V804" s="81"/>
      <c r="AA804" s="2"/>
    </row>
    <row r="805" ht="12.75" customHeight="1">
      <c r="A805" s="1"/>
      <c r="B805" s="1"/>
      <c r="L805" s="72"/>
      <c r="S805" s="72"/>
      <c r="T805" s="72"/>
      <c r="U805" s="81"/>
      <c r="V805" s="81"/>
      <c r="AA805" s="2"/>
    </row>
    <row r="806" ht="12.75" customHeight="1">
      <c r="A806" s="1"/>
      <c r="B806" s="1"/>
      <c r="L806" s="72"/>
      <c r="S806" s="72"/>
      <c r="T806" s="72"/>
      <c r="U806" s="81"/>
      <c r="V806" s="81"/>
      <c r="AA806" s="2"/>
    </row>
    <row r="807" ht="12.75" customHeight="1">
      <c r="A807" s="1"/>
      <c r="B807" s="1"/>
      <c r="L807" s="72"/>
      <c r="S807" s="72"/>
      <c r="T807" s="72"/>
      <c r="U807" s="81"/>
      <c r="V807" s="81"/>
      <c r="AA807" s="2"/>
    </row>
    <row r="808" ht="12.75" customHeight="1">
      <c r="A808" s="1"/>
      <c r="B808" s="1"/>
      <c r="L808" s="72"/>
      <c r="S808" s="72"/>
      <c r="T808" s="72"/>
      <c r="U808" s="81"/>
      <c r="V808" s="81"/>
      <c r="AA808" s="2"/>
    </row>
    <row r="809" ht="12.75" customHeight="1">
      <c r="A809" s="1"/>
      <c r="B809" s="1"/>
      <c r="L809" s="72"/>
      <c r="S809" s="72"/>
      <c r="T809" s="72"/>
      <c r="U809" s="81"/>
      <c r="V809" s="81"/>
      <c r="AA809" s="2"/>
    </row>
    <row r="810" ht="12.75" customHeight="1">
      <c r="A810" s="1"/>
      <c r="B810" s="1"/>
      <c r="L810" s="72"/>
      <c r="S810" s="72"/>
      <c r="T810" s="72"/>
      <c r="U810" s="81"/>
      <c r="V810" s="81"/>
      <c r="AA810" s="2"/>
    </row>
    <row r="811" ht="12.75" customHeight="1">
      <c r="A811" s="1"/>
      <c r="B811" s="1"/>
      <c r="L811" s="72"/>
      <c r="S811" s="72"/>
      <c r="T811" s="72"/>
      <c r="U811" s="81"/>
      <c r="V811" s="81"/>
      <c r="AA811" s="2"/>
    </row>
    <row r="812" ht="12.75" customHeight="1">
      <c r="A812" s="1"/>
      <c r="B812" s="1"/>
      <c r="L812" s="72"/>
      <c r="S812" s="72"/>
      <c r="T812" s="72"/>
      <c r="U812" s="81"/>
      <c r="V812" s="81"/>
      <c r="AA812" s="2"/>
    </row>
    <row r="813" ht="12.75" customHeight="1">
      <c r="A813" s="1"/>
      <c r="B813" s="1"/>
      <c r="L813" s="72"/>
      <c r="S813" s="72"/>
      <c r="T813" s="72"/>
      <c r="U813" s="81"/>
      <c r="V813" s="81"/>
      <c r="AA813" s="2"/>
    </row>
    <row r="814" ht="12.75" customHeight="1">
      <c r="A814" s="1"/>
      <c r="B814" s="1"/>
      <c r="L814" s="72"/>
      <c r="S814" s="72"/>
      <c r="T814" s="72"/>
      <c r="U814" s="81"/>
      <c r="V814" s="81"/>
      <c r="AA814" s="2"/>
    </row>
    <row r="815" ht="12.75" customHeight="1">
      <c r="A815" s="1"/>
      <c r="B815" s="1"/>
      <c r="L815" s="72"/>
      <c r="S815" s="72"/>
      <c r="T815" s="72"/>
      <c r="U815" s="81"/>
      <c r="V815" s="81"/>
      <c r="AA815" s="2"/>
    </row>
    <row r="816" ht="12.75" customHeight="1">
      <c r="A816" s="1"/>
      <c r="B816" s="1"/>
      <c r="L816" s="72"/>
      <c r="S816" s="72"/>
      <c r="T816" s="72"/>
      <c r="U816" s="81"/>
      <c r="V816" s="81"/>
      <c r="AA816" s="2"/>
    </row>
    <row r="817" ht="12.75" customHeight="1">
      <c r="A817" s="1"/>
      <c r="B817" s="1"/>
      <c r="L817" s="72"/>
      <c r="S817" s="72"/>
      <c r="T817" s="72"/>
      <c r="U817" s="81"/>
      <c r="V817" s="81"/>
      <c r="AA817" s="2"/>
    </row>
    <row r="818" ht="12.75" customHeight="1">
      <c r="A818" s="1"/>
      <c r="B818" s="1"/>
      <c r="L818" s="72"/>
      <c r="S818" s="72"/>
      <c r="T818" s="72"/>
      <c r="U818" s="81"/>
      <c r="V818" s="81"/>
      <c r="AA818" s="2"/>
    </row>
    <row r="819" ht="12.75" customHeight="1">
      <c r="A819" s="1"/>
      <c r="B819" s="1"/>
      <c r="L819" s="72"/>
      <c r="S819" s="72"/>
      <c r="T819" s="72"/>
      <c r="U819" s="81"/>
      <c r="V819" s="81"/>
      <c r="AA819" s="2"/>
    </row>
    <row r="820" ht="12.75" customHeight="1">
      <c r="A820" s="1"/>
      <c r="B820" s="1"/>
      <c r="L820" s="72"/>
      <c r="S820" s="72"/>
      <c r="T820" s="72"/>
      <c r="U820" s="81"/>
      <c r="V820" s="81"/>
      <c r="AA820" s="2"/>
    </row>
    <row r="821" ht="12.75" customHeight="1">
      <c r="A821" s="1"/>
      <c r="B821" s="1"/>
      <c r="L821" s="72"/>
      <c r="S821" s="72"/>
      <c r="T821" s="72"/>
      <c r="U821" s="81"/>
      <c r="V821" s="81"/>
      <c r="AA821" s="2"/>
    </row>
    <row r="822" ht="12.75" customHeight="1">
      <c r="A822" s="1"/>
      <c r="B822" s="1"/>
      <c r="L822" s="72"/>
      <c r="S822" s="72"/>
      <c r="T822" s="72"/>
      <c r="U822" s="81"/>
      <c r="V822" s="81"/>
      <c r="AA822" s="2"/>
    </row>
    <row r="823" ht="12.75" customHeight="1">
      <c r="A823" s="1"/>
      <c r="B823" s="1"/>
      <c r="L823" s="72"/>
      <c r="S823" s="72"/>
      <c r="T823" s="72"/>
      <c r="U823" s="81"/>
      <c r="V823" s="81"/>
      <c r="AA823" s="2"/>
    </row>
    <row r="824" ht="12.75" customHeight="1">
      <c r="A824" s="1"/>
      <c r="B824" s="1"/>
      <c r="L824" s="72"/>
      <c r="S824" s="72"/>
      <c r="T824" s="72"/>
      <c r="U824" s="81"/>
      <c r="V824" s="81"/>
      <c r="AA824" s="2"/>
    </row>
    <row r="825" ht="12.75" customHeight="1">
      <c r="A825" s="1"/>
      <c r="B825" s="1"/>
      <c r="L825" s="72"/>
      <c r="S825" s="72"/>
      <c r="T825" s="72"/>
      <c r="U825" s="81"/>
      <c r="V825" s="81"/>
      <c r="AA825" s="2"/>
    </row>
    <row r="826" ht="12.75" customHeight="1">
      <c r="A826" s="1"/>
      <c r="B826" s="1"/>
      <c r="L826" s="72"/>
      <c r="S826" s="72"/>
      <c r="T826" s="72"/>
      <c r="U826" s="81"/>
      <c r="V826" s="81"/>
      <c r="AA826" s="2"/>
    </row>
    <row r="827" ht="12.75" customHeight="1">
      <c r="A827" s="1"/>
      <c r="B827" s="1"/>
      <c r="L827" s="72"/>
      <c r="S827" s="72"/>
      <c r="T827" s="72"/>
      <c r="U827" s="81"/>
      <c r="V827" s="81"/>
      <c r="AA827" s="2"/>
    </row>
    <row r="828" ht="12.75" customHeight="1">
      <c r="A828" s="1"/>
      <c r="B828" s="1"/>
      <c r="L828" s="72"/>
      <c r="S828" s="72"/>
      <c r="T828" s="72"/>
      <c r="U828" s="81"/>
      <c r="V828" s="81"/>
      <c r="AA828" s="2"/>
    </row>
    <row r="829" ht="12.75" customHeight="1">
      <c r="A829" s="1"/>
      <c r="B829" s="1"/>
      <c r="L829" s="72"/>
      <c r="S829" s="72"/>
      <c r="T829" s="72"/>
      <c r="U829" s="81"/>
      <c r="V829" s="81"/>
      <c r="AA829" s="2"/>
    </row>
    <row r="830" ht="12.75" customHeight="1">
      <c r="A830" s="1"/>
      <c r="B830" s="1"/>
      <c r="L830" s="72"/>
      <c r="S830" s="72"/>
      <c r="T830" s="72"/>
      <c r="U830" s="81"/>
      <c r="V830" s="81"/>
      <c r="AA830" s="2"/>
    </row>
    <row r="831" ht="12.75" customHeight="1">
      <c r="A831" s="1"/>
      <c r="B831" s="1"/>
      <c r="L831" s="72"/>
      <c r="S831" s="72"/>
      <c r="T831" s="72"/>
      <c r="U831" s="81"/>
      <c r="V831" s="81"/>
      <c r="AA831" s="2"/>
    </row>
    <row r="832" ht="12.75" customHeight="1">
      <c r="A832" s="1"/>
      <c r="B832" s="1"/>
      <c r="L832" s="72"/>
      <c r="S832" s="72"/>
      <c r="T832" s="72"/>
      <c r="U832" s="81"/>
      <c r="V832" s="81"/>
      <c r="AA832" s="2"/>
    </row>
    <row r="833" ht="12.75" customHeight="1">
      <c r="A833" s="1"/>
      <c r="B833" s="1"/>
      <c r="L833" s="72"/>
      <c r="S833" s="72"/>
      <c r="T833" s="72"/>
      <c r="U833" s="81"/>
      <c r="V833" s="81"/>
      <c r="AA833" s="2"/>
    </row>
    <row r="834" ht="12.75" customHeight="1">
      <c r="A834" s="1"/>
      <c r="B834" s="1"/>
      <c r="L834" s="72"/>
      <c r="S834" s="72"/>
      <c r="T834" s="72"/>
      <c r="U834" s="81"/>
      <c r="V834" s="81"/>
      <c r="AA834" s="2"/>
    </row>
    <row r="835" ht="12.75" customHeight="1">
      <c r="A835" s="1"/>
      <c r="B835" s="1"/>
      <c r="L835" s="72"/>
      <c r="S835" s="72"/>
      <c r="T835" s="72"/>
      <c r="U835" s="81"/>
      <c r="V835" s="81"/>
      <c r="AA835" s="2"/>
    </row>
    <row r="836" ht="12.75" customHeight="1">
      <c r="A836" s="1"/>
      <c r="B836" s="1"/>
      <c r="L836" s="72"/>
      <c r="S836" s="72"/>
      <c r="T836" s="72"/>
      <c r="U836" s="81"/>
      <c r="V836" s="81"/>
      <c r="AA836" s="2"/>
    </row>
    <row r="837" ht="12.75" customHeight="1">
      <c r="A837" s="1"/>
      <c r="B837" s="1"/>
      <c r="L837" s="72"/>
      <c r="S837" s="72"/>
      <c r="T837" s="72"/>
      <c r="U837" s="81"/>
      <c r="V837" s="81"/>
      <c r="AA837" s="2"/>
    </row>
    <row r="838" ht="12.75" customHeight="1">
      <c r="A838" s="1"/>
      <c r="B838" s="1"/>
      <c r="L838" s="72"/>
      <c r="S838" s="72"/>
      <c r="T838" s="72"/>
      <c r="U838" s="81"/>
      <c r="V838" s="81"/>
      <c r="AA838" s="2"/>
    </row>
    <row r="839" ht="12.75" customHeight="1">
      <c r="A839" s="1"/>
      <c r="B839" s="1"/>
      <c r="L839" s="72"/>
      <c r="S839" s="72"/>
      <c r="T839" s="72"/>
      <c r="U839" s="81"/>
      <c r="V839" s="81"/>
      <c r="AA839" s="2"/>
    </row>
    <row r="840" ht="12.75" customHeight="1">
      <c r="A840" s="1"/>
      <c r="B840" s="1"/>
      <c r="L840" s="72"/>
      <c r="S840" s="72"/>
      <c r="T840" s="72"/>
      <c r="U840" s="81"/>
      <c r="V840" s="81"/>
      <c r="AA840" s="2"/>
    </row>
    <row r="841" ht="12.75" customHeight="1">
      <c r="A841" s="1"/>
      <c r="B841" s="1"/>
      <c r="L841" s="72"/>
      <c r="S841" s="72"/>
      <c r="T841" s="72"/>
      <c r="U841" s="81"/>
      <c r="V841" s="81"/>
      <c r="AA841" s="2"/>
    </row>
    <row r="842" ht="12.75" customHeight="1">
      <c r="A842" s="1"/>
      <c r="B842" s="1"/>
      <c r="L842" s="72"/>
      <c r="S842" s="72"/>
      <c r="T842" s="72"/>
      <c r="U842" s="81"/>
      <c r="V842" s="81"/>
      <c r="AA842" s="2"/>
    </row>
    <row r="843" ht="12.75" customHeight="1">
      <c r="A843" s="1"/>
      <c r="B843" s="1"/>
      <c r="L843" s="72"/>
      <c r="S843" s="72"/>
      <c r="T843" s="72"/>
      <c r="U843" s="81"/>
      <c r="V843" s="81"/>
      <c r="AA843" s="2"/>
    </row>
    <row r="844" ht="12.75" customHeight="1">
      <c r="A844" s="1"/>
      <c r="B844" s="1"/>
      <c r="L844" s="72"/>
      <c r="S844" s="72"/>
      <c r="T844" s="72"/>
      <c r="U844" s="81"/>
      <c r="V844" s="81"/>
      <c r="AA844" s="2"/>
    </row>
    <row r="845" ht="12.75" customHeight="1">
      <c r="A845" s="1"/>
      <c r="B845" s="1"/>
      <c r="L845" s="72"/>
      <c r="S845" s="72"/>
      <c r="T845" s="72"/>
      <c r="U845" s="81"/>
      <c r="V845" s="81"/>
      <c r="AA845" s="2"/>
    </row>
    <row r="846" ht="12.75" customHeight="1">
      <c r="A846" s="1"/>
      <c r="B846" s="1"/>
      <c r="L846" s="72"/>
      <c r="S846" s="72"/>
      <c r="T846" s="72"/>
      <c r="U846" s="81"/>
      <c r="V846" s="81"/>
      <c r="AA846" s="2"/>
    </row>
    <row r="847" ht="12.75" customHeight="1">
      <c r="A847" s="1"/>
      <c r="B847" s="1"/>
      <c r="L847" s="72"/>
      <c r="S847" s="72"/>
      <c r="T847" s="72"/>
      <c r="U847" s="81"/>
      <c r="V847" s="81"/>
      <c r="AA847" s="2"/>
    </row>
    <row r="848" ht="12.75" customHeight="1">
      <c r="A848" s="1"/>
      <c r="B848" s="1"/>
      <c r="L848" s="72"/>
      <c r="S848" s="72"/>
      <c r="T848" s="72"/>
      <c r="U848" s="81"/>
      <c r="V848" s="81"/>
      <c r="AA848" s="2"/>
    </row>
    <row r="849" ht="12.75" customHeight="1">
      <c r="A849" s="1"/>
      <c r="B849" s="1"/>
      <c r="L849" s="72"/>
      <c r="S849" s="72"/>
      <c r="T849" s="72"/>
      <c r="U849" s="81"/>
      <c r="V849" s="81"/>
      <c r="AA849" s="2"/>
    </row>
    <row r="850" ht="12.75" customHeight="1">
      <c r="A850" s="1"/>
      <c r="B850" s="1"/>
      <c r="L850" s="72"/>
      <c r="S850" s="72"/>
      <c r="T850" s="72"/>
      <c r="U850" s="81"/>
      <c r="V850" s="81"/>
      <c r="AA850" s="2"/>
    </row>
    <row r="851" ht="12.75" customHeight="1">
      <c r="A851" s="1"/>
      <c r="B851" s="1"/>
      <c r="L851" s="72"/>
      <c r="S851" s="72"/>
      <c r="T851" s="72"/>
      <c r="U851" s="81"/>
      <c r="V851" s="81"/>
      <c r="AA851" s="2"/>
    </row>
    <row r="852" ht="12.75" customHeight="1">
      <c r="A852" s="1"/>
      <c r="B852" s="1"/>
      <c r="L852" s="72"/>
      <c r="S852" s="72"/>
      <c r="T852" s="72"/>
      <c r="U852" s="81"/>
      <c r="V852" s="81"/>
      <c r="AA852" s="2"/>
    </row>
    <row r="853" ht="12.75" customHeight="1">
      <c r="A853" s="1"/>
      <c r="B853" s="1"/>
      <c r="L853" s="72"/>
      <c r="S853" s="72"/>
      <c r="T853" s="72"/>
      <c r="U853" s="81"/>
      <c r="V853" s="81"/>
      <c r="AA853" s="2"/>
    </row>
    <row r="854" ht="12.75" customHeight="1">
      <c r="A854" s="1"/>
      <c r="B854" s="1"/>
      <c r="L854" s="72"/>
      <c r="S854" s="72"/>
      <c r="T854" s="72"/>
      <c r="U854" s="81"/>
      <c r="V854" s="81"/>
      <c r="AA854" s="2"/>
    </row>
    <row r="855" ht="12.75" customHeight="1">
      <c r="A855" s="1"/>
      <c r="B855" s="1"/>
      <c r="L855" s="72"/>
      <c r="S855" s="72"/>
      <c r="T855" s="72"/>
      <c r="U855" s="81"/>
      <c r="V855" s="81"/>
      <c r="AA855" s="2"/>
    </row>
    <row r="856" ht="12.75" customHeight="1">
      <c r="A856" s="1"/>
      <c r="B856" s="1"/>
      <c r="L856" s="72"/>
      <c r="S856" s="72"/>
      <c r="T856" s="72"/>
      <c r="U856" s="81"/>
      <c r="V856" s="81"/>
      <c r="AA856" s="2"/>
    </row>
    <row r="857" ht="12.75" customHeight="1">
      <c r="A857" s="1"/>
      <c r="B857" s="1"/>
      <c r="L857" s="72"/>
      <c r="S857" s="72"/>
      <c r="T857" s="72"/>
      <c r="U857" s="81"/>
      <c r="V857" s="81"/>
      <c r="AA857" s="2"/>
    </row>
    <row r="858" ht="12.75" customHeight="1">
      <c r="A858" s="1"/>
      <c r="B858" s="1"/>
      <c r="L858" s="72"/>
      <c r="S858" s="72"/>
      <c r="T858" s="72"/>
      <c r="U858" s="81"/>
      <c r="V858" s="81"/>
      <c r="AA858" s="2"/>
    </row>
    <row r="859" ht="12.75" customHeight="1">
      <c r="A859" s="1"/>
      <c r="B859" s="1"/>
      <c r="L859" s="72"/>
      <c r="S859" s="72"/>
      <c r="T859" s="72"/>
      <c r="U859" s="81"/>
      <c r="V859" s="81"/>
      <c r="AA859" s="2"/>
    </row>
    <row r="860" ht="12.75" customHeight="1">
      <c r="A860" s="1"/>
      <c r="B860" s="1"/>
      <c r="L860" s="72"/>
      <c r="S860" s="72"/>
      <c r="T860" s="72"/>
      <c r="U860" s="81"/>
      <c r="V860" s="81"/>
      <c r="AA860" s="2"/>
    </row>
    <row r="861" ht="12.75" customHeight="1">
      <c r="A861" s="1"/>
      <c r="B861" s="1"/>
      <c r="L861" s="72"/>
      <c r="S861" s="72"/>
      <c r="T861" s="72"/>
      <c r="U861" s="81"/>
      <c r="V861" s="81"/>
      <c r="AA861" s="2"/>
    </row>
    <row r="862" ht="12.75" customHeight="1">
      <c r="A862" s="1"/>
      <c r="B862" s="1"/>
      <c r="L862" s="72"/>
      <c r="S862" s="72"/>
      <c r="T862" s="72"/>
      <c r="U862" s="81"/>
      <c r="V862" s="81"/>
      <c r="AA862" s="2"/>
    </row>
    <row r="863" ht="12.75" customHeight="1">
      <c r="A863" s="1"/>
      <c r="B863" s="1"/>
      <c r="L863" s="72"/>
      <c r="S863" s="72"/>
      <c r="T863" s="72"/>
      <c r="U863" s="81"/>
      <c r="V863" s="81"/>
      <c r="AA863" s="2"/>
    </row>
    <row r="864" ht="12.75" customHeight="1">
      <c r="A864" s="1"/>
      <c r="B864" s="1"/>
      <c r="L864" s="72"/>
      <c r="S864" s="72"/>
      <c r="T864" s="72"/>
      <c r="U864" s="81"/>
      <c r="V864" s="81"/>
      <c r="AA864" s="2"/>
    </row>
    <row r="865" ht="12.75" customHeight="1">
      <c r="A865" s="1"/>
      <c r="B865" s="1"/>
      <c r="L865" s="72"/>
      <c r="S865" s="72"/>
      <c r="T865" s="72"/>
      <c r="U865" s="81"/>
      <c r="V865" s="81"/>
      <c r="AA865" s="2"/>
    </row>
    <row r="866" ht="12.75" customHeight="1">
      <c r="A866" s="1"/>
      <c r="B866" s="1"/>
      <c r="L866" s="72"/>
      <c r="S866" s="72"/>
      <c r="T866" s="72"/>
      <c r="U866" s="81"/>
      <c r="V866" s="81"/>
      <c r="AA866" s="2"/>
    </row>
    <row r="867" ht="12.75" customHeight="1">
      <c r="A867" s="1"/>
      <c r="B867" s="1"/>
      <c r="L867" s="72"/>
      <c r="S867" s="72"/>
      <c r="T867" s="72"/>
      <c r="U867" s="81"/>
      <c r="V867" s="81"/>
      <c r="AA867" s="2"/>
    </row>
    <row r="868" ht="12.75" customHeight="1">
      <c r="A868" s="1"/>
      <c r="B868" s="1"/>
      <c r="L868" s="72"/>
      <c r="S868" s="72"/>
      <c r="T868" s="72"/>
      <c r="U868" s="81"/>
      <c r="V868" s="81"/>
      <c r="AA868" s="2"/>
    </row>
    <row r="869" ht="12.75" customHeight="1">
      <c r="A869" s="1"/>
      <c r="B869" s="1"/>
      <c r="L869" s="72"/>
      <c r="S869" s="72"/>
      <c r="T869" s="72"/>
      <c r="U869" s="81"/>
      <c r="V869" s="81"/>
      <c r="AA869" s="2"/>
    </row>
    <row r="870" ht="12.75" customHeight="1">
      <c r="A870" s="1"/>
      <c r="B870" s="1"/>
      <c r="L870" s="72"/>
      <c r="S870" s="72"/>
      <c r="T870" s="72"/>
      <c r="U870" s="81"/>
      <c r="V870" s="81"/>
      <c r="AA870" s="2"/>
    </row>
    <row r="871" ht="12.75" customHeight="1">
      <c r="A871" s="1"/>
      <c r="B871" s="1"/>
      <c r="L871" s="72"/>
      <c r="S871" s="72"/>
      <c r="T871" s="72"/>
      <c r="U871" s="81"/>
      <c r="V871" s="81"/>
      <c r="AA871" s="2"/>
    </row>
    <row r="872" ht="12.75" customHeight="1">
      <c r="A872" s="1"/>
      <c r="B872" s="1"/>
      <c r="L872" s="72"/>
      <c r="S872" s="72"/>
      <c r="T872" s="72"/>
      <c r="U872" s="81"/>
      <c r="V872" s="81"/>
      <c r="AA872" s="2"/>
    </row>
    <row r="873" ht="12.75" customHeight="1">
      <c r="A873" s="1"/>
      <c r="B873" s="1"/>
      <c r="L873" s="72"/>
      <c r="S873" s="72"/>
      <c r="T873" s="72"/>
      <c r="U873" s="81"/>
      <c r="V873" s="81"/>
      <c r="AA873" s="2"/>
    </row>
    <row r="874" ht="12.75" customHeight="1">
      <c r="A874" s="1"/>
      <c r="B874" s="1"/>
      <c r="L874" s="72"/>
      <c r="S874" s="72"/>
      <c r="T874" s="72"/>
      <c r="U874" s="81"/>
      <c r="V874" s="81"/>
      <c r="AA874" s="2"/>
    </row>
    <row r="875" ht="12.75" customHeight="1">
      <c r="A875" s="1"/>
      <c r="B875" s="1"/>
      <c r="L875" s="72"/>
      <c r="S875" s="72"/>
      <c r="T875" s="72"/>
      <c r="U875" s="81"/>
      <c r="V875" s="81"/>
      <c r="AA875" s="2"/>
    </row>
    <row r="876" ht="12.75" customHeight="1">
      <c r="A876" s="1"/>
      <c r="B876" s="1"/>
      <c r="L876" s="72"/>
      <c r="S876" s="72"/>
      <c r="T876" s="72"/>
      <c r="U876" s="81"/>
      <c r="V876" s="81"/>
      <c r="AA876" s="2"/>
    </row>
    <row r="877" ht="12.75" customHeight="1">
      <c r="A877" s="1"/>
      <c r="B877" s="1"/>
      <c r="L877" s="72"/>
      <c r="S877" s="72"/>
      <c r="T877" s="72"/>
      <c r="U877" s="81"/>
      <c r="V877" s="81"/>
      <c r="AA877" s="2"/>
    </row>
    <row r="878" ht="12.75" customHeight="1">
      <c r="A878" s="1"/>
      <c r="B878" s="1"/>
      <c r="L878" s="72"/>
      <c r="S878" s="72"/>
      <c r="T878" s="72"/>
      <c r="U878" s="81"/>
      <c r="V878" s="81"/>
      <c r="AA878" s="2"/>
    </row>
    <row r="879" ht="12.75" customHeight="1">
      <c r="A879" s="1"/>
      <c r="B879" s="1"/>
      <c r="L879" s="72"/>
      <c r="S879" s="72"/>
      <c r="T879" s="72"/>
      <c r="U879" s="81"/>
      <c r="V879" s="81"/>
      <c r="AA879" s="2"/>
    </row>
    <row r="880" ht="12.75" customHeight="1">
      <c r="A880" s="1"/>
      <c r="B880" s="1"/>
      <c r="L880" s="72"/>
      <c r="S880" s="72"/>
      <c r="T880" s="72"/>
      <c r="U880" s="81"/>
      <c r="V880" s="81"/>
      <c r="AA880" s="2"/>
    </row>
    <row r="881" ht="12.75" customHeight="1">
      <c r="A881" s="1"/>
      <c r="B881" s="1"/>
      <c r="L881" s="72"/>
      <c r="S881" s="72"/>
      <c r="T881" s="72"/>
      <c r="U881" s="81"/>
      <c r="V881" s="81"/>
      <c r="AA881" s="2"/>
    </row>
    <row r="882" ht="12.75" customHeight="1">
      <c r="A882" s="1"/>
      <c r="B882" s="1"/>
      <c r="L882" s="72"/>
      <c r="S882" s="72"/>
      <c r="T882" s="72"/>
      <c r="U882" s="81"/>
      <c r="V882" s="81"/>
      <c r="AA882" s="2"/>
    </row>
    <row r="883" ht="12.75" customHeight="1">
      <c r="A883" s="1"/>
      <c r="B883" s="1"/>
      <c r="L883" s="72"/>
      <c r="S883" s="72"/>
      <c r="T883" s="72"/>
      <c r="U883" s="81"/>
      <c r="V883" s="81"/>
      <c r="AA883" s="2"/>
    </row>
    <row r="884" ht="12.75" customHeight="1">
      <c r="A884" s="1"/>
      <c r="B884" s="1"/>
      <c r="L884" s="72"/>
      <c r="S884" s="72"/>
      <c r="T884" s="72"/>
      <c r="U884" s="81"/>
      <c r="V884" s="81"/>
      <c r="AA884" s="2"/>
    </row>
    <row r="885" ht="12.75" customHeight="1">
      <c r="A885" s="1"/>
      <c r="B885" s="1"/>
      <c r="L885" s="72"/>
      <c r="S885" s="72"/>
      <c r="T885" s="72"/>
      <c r="U885" s="81"/>
      <c r="V885" s="81"/>
      <c r="AA885" s="2"/>
    </row>
    <row r="886" ht="12.75" customHeight="1">
      <c r="A886" s="1"/>
      <c r="B886" s="1"/>
      <c r="L886" s="72"/>
      <c r="S886" s="72"/>
      <c r="T886" s="72"/>
      <c r="U886" s="81"/>
      <c r="V886" s="81"/>
      <c r="AA886" s="2"/>
    </row>
    <row r="887" ht="12.75" customHeight="1">
      <c r="A887" s="1"/>
      <c r="B887" s="1"/>
      <c r="L887" s="72"/>
      <c r="S887" s="72"/>
      <c r="T887" s="72"/>
      <c r="U887" s="81"/>
      <c r="V887" s="81"/>
      <c r="AA887" s="2"/>
    </row>
    <row r="888" ht="12.75" customHeight="1">
      <c r="A888" s="1"/>
      <c r="B888" s="1"/>
      <c r="L888" s="72"/>
      <c r="S888" s="72"/>
      <c r="T888" s="72"/>
      <c r="U888" s="81"/>
      <c r="V888" s="81"/>
      <c r="AA888" s="2"/>
    </row>
    <row r="889" ht="12.75" customHeight="1">
      <c r="A889" s="1"/>
      <c r="B889" s="1"/>
      <c r="L889" s="72"/>
      <c r="S889" s="72"/>
      <c r="T889" s="72"/>
      <c r="U889" s="81"/>
      <c r="V889" s="81"/>
      <c r="AA889" s="2"/>
    </row>
    <row r="890" ht="12.75" customHeight="1">
      <c r="A890" s="1"/>
      <c r="B890" s="1"/>
      <c r="L890" s="72"/>
      <c r="S890" s="72"/>
      <c r="T890" s="72"/>
      <c r="U890" s="81"/>
      <c r="V890" s="81"/>
      <c r="AA890" s="2"/>
    </row>
    <row r="891" ht="12.75" customHeight="1">
      <c r="A891" s="1"/>
      <c r="B891" s="1"/>
      <c r="L891" s="72"/>
      <c r="S891" s="72"/>
      <c r="T891" s="72"/>
      <c r="U891" s="81"/>
      <c r="V891" s="81"/>
      <c r="AA891" s="2"/>
    </row>
    <row r="892" ht="12.75" customHeight="1">
      <c r="A892" s="1"/>
      <c r="B892" s="1"/>
      <c r="L892" s="72"/>
      <c r="S892" s="72"/>
      <c r="T892" s="72"/>
      <c r="U892" s="81"/>
      <c r="V892" s="81"/>
      <c r="AA892" s="2"/>
    </row>
    <row r="893" ht="12.75" customHeight="1">
      <c r="A893" s="1"/>
      <c r="B893" s="1"/>
      <c r="L893" s="72"/>
      <c r="S893" s="72"/>
      <c r="T893" s="72"/>
      <c r="U893" s="81"/>
      <c r="V893" s="81"/>
      <c r="AA893" s="2"/>
    </row>
    <row r="894" ht="12.75" customHeight="1">
      <c r="A894" s="1"/>
      <c r="B894" s="1"/>
      <c r="L894" s="72"/>
      <c r="S894" s="72"/>
      <c r="T894" s="72"/>
      <c r="U894" s="81"/>
      <c r="V894" s="81"/>
      <c r="AA894" s="2"/>
    </row>
    <row r="895" ht="12.75" customHeight="1">
      <c r="A895" s="1"/>
      <c r="B895" s="1"/>
      <c r="L895" s="72"/>
      <c r="S895" s="72"/>
      <c r="T895" s="72"/>
      <c r="U895" s="81"/>
      <c r="V895" s="81"/>
      <c r="AA895" s="2"/>
    </row>
    <row r="896" ht="12.75" customHeight="1">
      <c r="A896" s="1"/>
      <c r="B896" s="1"/>
      <c r="L896" s="72"/>
      <c r="S896" s="72"/>
      <c r="T896" s="72"/>
      <c r="U896" s="81"/>
      <c r="V896" s="81"/>
      <c r="AA896" s="2"/>
    </row>
    <row r="897" ht="12.75" customHeight="1">
      <c r="A897" s="1"/>
      <c r="B897" s="1"/>
      <c r="L897" s="72"/>
      <c r="S897" s="72"/>
      <c r="T897" s="72"/>
      <c r="U897" s="81"/>
      <c r="V897" s="81"/>
      <c r="AA897" s="2"/>
    </row>
    <row r="898" ht="12.75" customHeight="1">
      <c r="A898" s="1"/>
      <c r="B898" s="1"/>
      <c r="L898" s="72"/>
      <c r="S898" s="72"/>
      <c r="T898" s="72"/>
      <c r="U898" s="81"/>
      <c r="V898" s="81"/>
      <c r="AA898" s="2"/>
    </row>
    <row r="899" ht="12.75" customHeight="1">
      <c r="A899" s="1"/>
      <c r="B899" s="1"/>
      <c r="L899" s="72"/>
      <c r="S899" s="72"/>
      <c r="T899" s="72"/>
      <c r="U899" s="81"/>
      <c r="V899" s="81"/>
      <c r="AA899" s="2"/>
    </row>
    <row r="900" ht="12.75" customHeight="1">
      <c r="A900" s="1"/>
      <c r="B900" s="1"/>
      <c r="L900" s="72"/>
      <c r="S900" s="72"/>
      <c r="T900" s="72"/>
      <c r="U900" s="81"/>
      <c r="V900" s="81"/>
      <c r="AA900" s="2"/>
    </row>
    <row r="901" ht="12.75" customHeight="1">
      <c r="A901" s="1"/>
      <c r="B901" s="1"/>
      <c r="L901" s="72"/>
      <c r="S901" s="72"/>
      <c r="T901" s="72"/>
      <c r="U901" s="81"/>
      <c r="V901" s="81"/>
      <c r="AA901" s="2"/>
    </row>
    <row r="902" ht="12.75" customHeight="1">
      <c r="A902" s="1"/>
      <c r="B902" s="1"/>
      <c r="L902" s="72"/>
      <c r="S902" s="72"/>
      <c r="T902" s="72"/>
      <c r="U902" s="81"/>
      <c r="V902" s="81"/>
      <c r="AA902" s="2"/>
    </row>
    <row r="903" ht="12.75" customHeight="1">
      <c r="A903" s="1"/>
      <c r="B903" s="1"/>
      <c r="L903" s="72"/>
      <c r="S903" s="72"/>
      <c r="T903" s="72"/>
      <c r="U903" s="81"/>
      <c r="V903" s="81"/>
      <c r="AA903" s="2"/>
    </row>
    <row r="904" ht="12.75" customHeight="1">
      <c r="A904" s="1"/>
      <c r="B904" s="1"/>
      <c r="L904" s="72"/>
      <c r="S904" s="72"/>
      <c r="T904" s="72"/>
      <c r="U904" s="81"/>
      <c r="V904" s="81"/>
      <c r="AA904" s="2"/>
    </row>
    <row r="905" ht="12.75" customHeight="1">
      <c r="A905" s="1"/>
      <c r="B905" s="1"/>
      <c r="L905" s="72"/>
      <c r="S905" s="72"/>
      <c r="T905" s="72"/>
      <c r="U905" s="81"/>
      <c r="V905" s="81"/>
      <c r="AA905" s="2"/>
    </row>
    <row r="906" ht="12.75" customHeight="1">
      <c r="A906" s="1"/>
      <c r="B906" s="1"/>
      <c r="L906" s="72"/>
      <c r="S906" s="72"/>
      <c r="T906" s="72"/>
      <c r="U906" s="81"/>
      <c r="V906" s="81"/>
      <c r="AA906" s="2"/>
    </row>
    <row r="907" ht="12.75" customHeight="1">
      <c r="A907" s="1"/>
      <c r="B907" s="1"/>
      <c r="L907" s="72"/>
      <c r="S907" s="72"/>
      <c r="T907" s="72"/>
      <c r="U907" s="81"/>
      <c r="V907" s="81"/>
      <c r="AA907" s="2"/>
    </row>
    <row r="908" ht="12.75" customHeight="1">
      <c r="A908" s="1"/>
      <c r="B908" s="1"/>
      <c r="L908" s="72"/>
      <c r="S908" s="72"/>
      <c r="T908" s="72"/>
      <c r="U908" s="81"/>
      <c r="V908" s="81"/>
      <c r="AA908" s="2"/>
    </row>
    <row r="909" ht="12.75" customHeight="1">
      <c r="A909" s="1"/>
      <c r="B909" s="1"/>
      <c r="L909" s="72"/>
      <c r="S909" s="72"/>
      <c r="T909" s="72"/>
      <c r="U909" s="81"/>
      <c r="V909" s="81"/>
      <c r="AA909" s="2"/>
    </row>
    <row r="910" ht="12.75" customHeight="1">
      <c r="A910" s="1"/>
      <c r="B910" s="1"/>
      <c r="L910" s="72"/>
      <c r="S910" s="72"/>
      <c r="T910" s="72"/>
      <c r="U910" s="81"/>
      <c r="V910" s="81"/>
      <c r="AA910" s="2"/>
    </row>
    <row r="911" ht="12.75" customHeight="1">
      <c r="A911" s="1"/>
      <c r="B911" s="1"/>
      <c r="L911" s="72"/>
      <c r="S911" s="72"/>
      <c r="T911" s="72"/>
      <c r="U911" s="81"/>
      <c r="V911" s="81"/>
      <c r="AA911" s="2"/>
    </row>
    <row r="912" ht="12.75" customHeight="1">
      <c r="A912" s="1"/>
      <c r="B912" s="1"/>
      <c r="L912" s="72"/>
      <c r="S912" s="72"/>
      <c r="T912" s="72"/>
      <c r="U912" s="81"/>
      <c r="V912" s="81"/>
      <c r="AA912" s="2"/>
    </row>
    <row r="913" ht="12.75" customHeight="1">
      <c r="A913" s="1"/>
      <c r="B913" s="1"/>
      <c r="L913" s="72"/>
      <c r="S913" s="72"/>
      <c r="T913" s="72"/>
      <c r="U913" s="81"/>
      <c r="V913" s="81"/>
      <c r="AA913" s="2"/>
    </row>
    <row r="914" ht="12.75" customHeight="1">
      <c r="A914" s="1"/>
      <c r="B914" s="1"/>
      <c r="L914" s="72"/>
      <c r="S914" s="72"/>
      <c r="T914" s="72"/>
      <c r="U914" s="81"/>
      <c r="V914" s="81"/>
      <c r="AA914" s="2"/>
    </row>
    <row r="915" ht="12.75" customHeight="1">
      <c r="A915" s="1"/>
      <c r="B915" s="1"/>
      <c r="L915" s="72"/>
      <c r="S915" s="72"/>
      <c r="T915" s="72"/>
      <c r="U915" s="81"/>
      <c r="V915" s="81"/>
      <c r="AA915" s="2"/>
    </row>
    <row r="916" ht="12.75" customHeight="1">
      <c r="A916" s="1"/>
      <c r="B916" s="1"/>
      <c r="L916" s="72"/>
      <c r="S916" s="72"/>
      <c r="T916" s="72"/>
      <c r="U916" s="81"/>
      <c r="V916" s="81"/>
      <c r="AA916" s="2"/>
    </row>
    <row r="917" ht="12.75" customHeight="1">
      <c r="A917" s="1"/>
      <c r="B917" s="1"/>
      <c r="L917" s="72"/>
      <c r="S917" s="72"/>
      <c r="T917" s="72"/>
      <c r="U917" s="81"/>
      <c r="V917" s="81"/>
      <c r="AA917" s="2"/>
    </row>
    <row r="918" ht="12.75" customHeight="1">
      <c r="A918" s="1"/>
      <c r="B918" s="1"/>
      <c r="L918" s="72"/>
      <c r="S918" s="72"/>
      <c r="T918" s="72"/>
      <c r="U918" s="81"/>
      <c r="V918" s="81"/>
      <c r="AA918" s="2"/>
    </row>
    <row r="919" ht="12.75" customHeight="1">
      <c r="A919" s="1"/>
      <c r="B919" s="1"/>
      <c r="L919" s="72"/>
      <c r="S919" s="72"/>
      <c r="T919" s="72"/>
      <c r="U919" s="81"/>
      <c r="V919" s="81"/>
      <c r="AA919" s="2"/>
    </row>
    <row r="920" ht="12.75" customHeight="1">
      <c r="A920" s="1"/>
      <c r="B920" s="1"/>
      <c r="L920" s="72"/>
      <c r="S920" s="72"/>
      <c r="T920" s="72"/>
      <c r="U920" s="81"/>
      <c r="V920" s="81"/>
      <c r="AA920" s="2"/>
    </row>
    <row r="921" ht="12.75" customHeight="1">
      <c r="A921" s="1"/>
      <c r="B921" s="1"/>
      <c r="L921" s="72"/>
      <c r="S921" s="72"/>
      <c r="T921" s="72"/>
      <c r="U921" s="81"/>
      <c r="V921" s="81"/>
      <c r="AA921" s="2"/>
    </row>
    <row r="922" ht="12.75" customHeight="1">
      <c r="A922" s="1"/>
      <c r="B922" s="1"/>
      <c r="L922" s="72"/>
      <c r="S922" s="72"/>
      <c r="T922" s="72"/>
      <c r="U922" s="81"/>
      <c r="V922" s="81"/>
      <c r="AA922" s="2"/>
    </row>
    <row r="923" ht="12.75" customHeight="1">
      <c r="A923" s="1"/>
      <c r="B923" s="1"/>
      <c r="L923" s="72"/>
      <c r="S923" s="72"/>
      <c r="T923" s="72"/>
      <c r="U923" s="81"/>
      <c r="V923" s="81"/>
      <c r="AA923" s="2"/>
    </row>
    <row r="924" ht="12.75" customHeight="1">
      <c r="A924" s="1"/>
      <c r="B924" s="1"/>
      <c r="L924" s="72"/>
      <c r="S924" s="72"/>
      <c r="T924" s="72"/>
      <c r="U924" s="81"/>
      <c r="V924" s="81"/>
      <c r="AA924" s="2"/>
    </row>
    <row r="925" ht="12.75" customHeight="1">
      <c r="A925" s="1"/>
      <c r="B925" s="1"/>
      <c r="L925" s="72"/>
      <c r="S925" s="72"/>
      <c r="T925" s="72"/>
      <c r="U925" s="81"/>
      <c r="V925" s="81"/>
      <c r="AA925" s="2"/>
    </row>
    <row r="926" ht="12.75" customHeight="1">
      <c r="A926" s="1"/>
      <c r="B926" s="1"/>
      <c r="L926" s="72"/>
      <c r="S926" s="72"/>
      <c r="T926" s="72"/>
      <c r="U926" s="81"/>
      <c r="V926" s="81"/>
      <c r="AA926" s="2"/>
    </row>
    <row r="927" ht="12.75" customHeight="1">
      <c r="A927" s="1"/>
      <c r="B927" s="1"/>
      <c r="L927" s="72"/>
      <c r="S927" s="72"/>
      <c r="T927" s="72"/>
      <c r="U927" s="81"/>
      <c r="V927" s="81"/>
      <c r="AA927" s="2"/>
    </row>
    <row r="928" ht="12.75" customHeight="1">
      <c r="A928" s="1"/>
      <c r="B928" s="1"/>
      <c r="L928" s="72"/>
      <c r="S928" s="72"/>
      <c r="T928" s="72"/>
      <c r="U928" s="81"/>
      <c r="V928" s="81"/>
      <c r="AA928" s="2"/>
    </row>
    <row r="929" ht="12.75" customHeight="1">
      <c r="A929" s="1"/>
      <c r="B929" s="1"/>
      <c r="L929" s="72"/>
      <c r="S929" s="72"/>
      <c r="T929" s="72"/>
      <c r="U929" s="81"/>
      <c r="V929" s="81"/>
      <c r="AA929" s="2"/>
    </row>
    <row r="930" ht="12.75" customHeight="1">
      <c r="A930" s="1"/>
      <c r="B930" s="1"/>
      <c r="L930" s="72"/>
      <c r="S930" s="72"/>
      <c r="T930" s="72"/>
      <c r="U930" s="81"/>
      <c r="V930" s="81"/>
      <c r="AA930" s="2"/>
    </row>
    <row r="931" ht="12.75" customHeight="1">
      <c r="A931" s="1"/>
      <c r="B931" s="1"/>
      <c r="L931" s="72"/>
      <c r="S931" s="72"/>
      <c r="T931" s="72"/>
      <c r="U931" s="81"/>
      <c r="V931" s="81"/>
      <c r="AA931" s="2"/>
    </row>
    <row r="932" ht="12.75" customHeight="1">
      <c r="A932" s="1"/>
      <c r="B932" s="1"/>
      <c r="L932" s="72"/>
      <c r="S932" s="72"/>
      <c r="T932" s="72"/>
      <c r="U932" s="81"/>
      <c r="V932" s="81"/>
      <c r="AA932" s="2"/>
    </row>
    <row r="933" ht="12.75" customHeight="1">
      <c r="A933" s="1"/>
      <c r="B933" s="1"/>
      <c r="L933" s="72"/>
      <c r="S933" s="72"/>
      <c r="T933" s="72"/>
      <c r="U933" s="81"/>
      <c r="V933" s="81"/>
      <c r="AA933" s="2"/>
    </row>
    <row r="934" ht="12.75" customHeight="1">
      <c r="A934" s="1"/>
      <c r="B934" s="1"/>
      <c r="L934" s="72"/>
      <c r="S934" s="72"/>
      <c r="T934" s="72"/>
      <c r="U934" s="81"/>
      <c r="V934" s="81"/>
      <c r="AA934" s="2"/>
    </row>
    <row r="935" ht="12.75" customHeight="1">
      <c r="A935" s="1"/>
      <c r="B935" s="1"/>
      <c r="L935" s="72"/>
      <c r="S935" s="72"/>
      <c r="T935" s="72"/>
      <c r="U935" s="81"/>
      <c r="V935" s="81"/>
      <c r="AA935" s="2"/>
    </row>
    <row r="936" ht="12.75" customHeight="1">
      <c r="A936" s="1"/>
      <c r="B936" s="1"/>
      <c r="L936" s="72"/>
      <c r="S936" s="72"/>
      <c r="T936" s="72"/>
      <c r="U936" s="81"/>
      <c r="V936" s="81"/>
      <c r="AA936" s="2"/>
    </row>
    <row r="937" ht="12.75" customHeight="1">
      <c r="A937" s="1"/>
      <c r="B937" s="1"/>
      <c r="L937" s="72"/>
      <c r="S937" s="72"/>
      <c r="T937" s="72"/>
      <c r="U937" s="81"/>
      <c r="V937" s="81"/>
      <c r="AA937" s="2"/>
    </row>
    <row r="938" ht="12.75" customHeight="1">
      <c r="A938" s="1"/>
      <c r="B938" s="1"/>
      <c r="L938" s="72"/>
      <c r="S938" s="72"/>
      <c r="T938" s="72"/>
      <c r="U938" s="81"/>
      <c r="V938" s="81"/>
      <c r="AA938" s="2"/>
    </row>
    <row r="939" ht="12.75" customHeight="1">
      <c r="A939" s="1"/>
      <c r="B939" s="1"/>
      <c r="L939" s="72"/>
      <c r="S939" s="72"/>
      <c r="T939" s="72"/>
      <c r="U939" s="81"/>
      <c r="V939" s="81"/>
      <c r="AA939" s="2"/>
    </row>
    <row r="940" ht="12.75" customHeight="1">
      <c r="A940" s="1"/>
      <c r="B940" s="1"/>
      <c r="L940" s="72"/>
      <c r="S940" s="72"/>
      <c r="T940" s="72"/>
      <c r="U940" s="81"/>
      <c r="V940" s="81"/>
      <c r="AA940" s="2"/>
    </row>
    <row r="941" ht="12.75" customHeight="1">
      <c r="A941" s="1"/>
      <c r="B941" s="1"/>
      <c r="L941" s="72"/>
      <c r="S941" s="72"/>
      <c r="T941" s="72"/>
      <c r="U941" s="81"/>
      <c r="V941" s="81"/>
      <c r="AA941" s="2"/>
    </row>
    <row r="942" ht="12.75" customHeight="1">
      <c r="A942" s="1"/>
      <c r="B942" s="1"/>
      <c r="L942" s="72"/>
      <c r="S942" s="72"/>
      <c r="T942" s="72"/>
      <c r="U942" s="81"/>
      <c r="V942" s="81"/>
      <c r="AA942" s="2"/>
    </row>
    <row r="943" ht="12.75" customHeight="1">
      <c r="A943" s="1"/>
      <c r="B943" s="1"/>
      <c r="L943" s="72"/>
      <c r="S943" s="72"/>
      <c r="T943" s="72"/>
      <c r="U943" s="81"/>
      <c r="V943" s="81"/>
      <c r="AA943" s="2"/>
    </row>
    <row r="944" ht="12.75" customHeight="1">
      <c r="A944" s="1"/>
      <c r="B944" s="1"/>
      <c r="L944" s="72"/>
      <c r="S944" s="72"/>
      <c r="T944" s="72"/>
      <c r="U944" s="81"/>
      <c r="V944" s="81"/>
      <c r="AA944" s="2"/>
    </row>
    <row r="945" ht="12.75" customHeight="1">
      <c r="A945" s="1"/>
      <c r="B945" s="1"/>
      <c r="L945" s="72"/>
      <c r="S945" s="72"/>
      <c r="T945" s="72"/>
      <c r="U945" s="81"/>
      <c r="V945" s="81"/>
      <c r="AA945" s="2"/>
    </row>
    <row r="946" ht="12.75" customHeight="1">
      <c r="A946" s="1"/>
      <c r="B946" s="1"/>
      <c r="L946" s="72"/>
      <c r="S946" s="72"/>
      <c r="T946" s="72"/>
      <c r="U946" s="81"/>
      <c r="V946" s="81"/>
      <c r="AA946" s="2"/>
    </row>
    <row r="947" ht="12.75" customHeight="1">
      <c r="A947" s="1"/>
      <c r="B947" s="1"/>
      <c r="L947" s="72"/>
      <c r="S947" s="72"/>
      <c r="T947" s="72"/>
      <c r="U947" s="81"/>
      <c r="V947" s="81"/>
      <c r="AA947" s="2"/>
    </row>
    <row r="948" ht="12.75" customHeight="1">
      <c r="A948" s="1"/>
      <c r="B948" s="1"/>
      <c r="L948" s="72"/>
      <c r="S948" s="72"/>
      <c r="T948" s="72"/>
      <c r="U948" s="81"/>
      <c r="V948" s="81"/>
      <c r="AA948" s="2"/>
    </row>
    <row r="949" ht="12.75" customHeight="1">
      <c r="A949" s="1"/>
      <c r="B949" s="1"/>
      <c r="L949" s="72"/>
      <c r="S949" s="72"/>
      <c r="T949" s="72"/>
      <c r="U949" s="81"/>
      <c r="V949" s="81"/>
      <c r="AA949" s="2"/>
    </row>
    <row r="950" ht="12.75" customHeight="1">
      <c r="A950" s="1"/>
      <c r="B950" s="1"/>
      <c r="L950" s="72"/>
      <c r="S950" s="72"/>
      <c r="T950" s="72"/>
      <c r="U950" s="81"/>
      <c r="V950" s="81"/>
      <c r="AA950" s="2"/>
    </row>
    <row r="951" ht="12.75" customHeight="1">
      <c r="A951" s="1"/>
      <c r="B951" s="1"/>
      <c r="L951" s="72"/>
      <c r="S951" s="72"/>
      <c r="T951" s="72"/>
      <c r="U951" s="81"/>
      <c r="V951" s="81"/>
      <c r="AA951" s="2"/>
    </row>
    <row r="952" ht="12.75" customHeight="1">
      <c r="A952" s="1"/>
      <c r="B952" s="1"/>
      <c r="L952" s="72"/>
      <c r="S952" s="72"/>
      <c r="T952" s="72"/>
      <c r="U952" s="81"/>
      <c r="V952" s="81"/>
      <c r="AA952" s="2"/>
    </row>
    <row r="953" ht="12.75" customHeight="1">
      <c r="A953" s="1"/>
      <c r="B953" s="1"/>
      <c r="L953" s="72"/>
      <c r="S953" s="72"/>
      <c r="T953" s="72"/>
      <c r="U953" s="81"/>
      <c r="V953" s="81"/>
      <c r="AA953" s="2"/>
    </row>
    <row r="954" ht="12.75" customHeight="1">
      <c r="A954" s="1"/>
      <c r="B954" s="1"/>
      <c r="L954" s="72"/>
      <c r="S954" s="72"/>
      <c r="T954" s="72"/>
      <c r="U954" s="81"/>
      <c r="V954" s="81"/>
      <c r="AA954" s="2"/>
    </row>
    <row r="955" ht="12.75" customHeight="1">
      <c r="A955" s="1"/>
      <c r="B955" s="1"/>
      <c r="L955" s="72"/>
      <c r="S955" s="72"/>
      <c r="T955" s="72"/>
      <c r="U955" s="81"/>
      <c r="V955" s="81"/>
      <c r="AA955" s="2"/>
    </row>
    <row r="956" ht="12.75" customHeight="1">
      <c r="A956" s="1"/>
      <c r="B956" s="1"/>
      <c r="L956" s="72"/>
      <c r="S956" s="72"/>
      <c r="T956" s="72"/>
      <c r="U956" s="81"/>
      <c r="V956" s="81"/>
      <c r="AA956" s="2"/>
    </row>
    <row r="957" ht="12.75" customHeight="1">
      <c r="A957" s="1"/>
      <c r="B957" s="1"/>
      <c r="L957" s="72"/>
      <c r="S957" s="72"/>
      <c r="T957" s="72"/>
      <c r="U957" s="81"/>
      <c r="V957" s="81"/>
      <c r="AA957" s="2"/>
    </row>
    <row r="958" ht="12.75" customHeight="1">
      <c r="A958" s="1"/>
      <c r="B958" s="1"/>
      <c r="L958" s="72"/>
      <c r="S958" s="72"/>
      <c r="T958" s="72"/>
      <c r="U958" s="81"/>
      <c r="V958" s="81"/>
      <c r="AA958" s="2"/>
    </row>
    <row r="959" ht="12.75" customHeight="1">
      <c r="A959" s="1"/>
      <c r="B959" s="1"/>
      <c r="L959" s="72"/>
      <c r="S959" s="72"/>
      <c r="T959" s="72"/>
      <c r="U959" s="81"/>
      <c r="V959" s="81"/>
      <c r="AA959" s="2"/>
    </row>
    <row r="960" ht="12.75" customHeight="1">
      <c r="A960" s="1"/>
      <c r="B960" s="1"/>
      <c r="L960" s="72"/>
      <c r="S960" s="72"/>
      <c r="T960" s="72"/>
      <c r="U960" s="81"/>
      <c r="V960" s="81"/>
      <c r="AA960" s="2"/>
    </row>
    <row r="961" ht="12.75" customHeight="1">
      <c r="A961" s="1"/>
      <c r="B961" s="1"/>
      <c r="L961" s="72"/>
      <c r="S961" s="72"/>
      <c r="T961" s="72"/>
      <c r="U961" s="81"/>
      <c r="V961" s="81"/>
      <c r="AA961" s="2"/>
    </row>
    <row r="962" ht="12.75" customHeight="1">
      <c r="A962" s="1"/>
      <c r="B962" s="1"/>
      <c r="L962" s="72"/>
      <c r="S962" s="72"/>
      <c r="T962" s="72"/>
      <c r="U962" s="81"/>
      <c r="V962" s="81"/>
      <c r="AA962" s="2"/>
    </row>
    <row r="963" ht="12.75" customHeight="1">
      <c r="A963" s="1"/>
      <c r="B963" s="1"/>
      <c r="L963" s="72"/>
      <c r="S963" s="72"/>
      <c r="T963" s="72"/>
      <c r="U963" s="81"/>
      <c r="V963" s="81"/>
      <c r="AA963" s="2"/>
    </row>
    <row r="964" ht="12.75" customHeight="1">
      <c r="A964" s="1"/>
      <c r="B964" s="1"/>
      <c r="L964" s="72"/>
      <c r="S964" s="72"/>
      <c r="T964" s="72"/>
      <c r="U964" s="81"/>
      <c r="V964" s="81"/>
      <c r="AA964" s="2"/>
    </row>
    <row r="965" ht="12.75" customHeight="1">
      <c r="A965" s="1"/>
      <c r="B965" s="1"/>
      <c r="L965" s="72"/>
      <c r="S965" s="72"/>
      <c r="T965" s="72"/>
      <c r="U965" s="81"/>
      <c r="V965" s="81"/>
      <c r="AA965" s="2"/>
    </row>
    <row r="966" ht="12.75" customHeight="1">
      <c r="A966" s="1"/>
      <c r="B966" s="1"/>
      <c r="L966" s="72"/>
      <c r="S966" s="72"/>
      <c r="T966" s="72"/>
      <c r="U966" s="81"/>
      <c r="V966" s="81"/>
      <c r="AA966" s="2"/>
    </row>
    <row r="967" ht="12.75" customHeight="1">
      <c r="A967" s="1"/>
      <c r="B967" s="1"/>
      <c r="L967" s="72"/>
      <c r="S967" s="72"/>
      <c r="T967" s="72"/>
      <c r="U967" s="81"/>
      <c r="V967" s="81"/>
      <c r="AA967" s="2"/>
    </row>
    <row r="968" ht="12.75" customHeight="1">
      <c r="A968" s="1"/>
      <c r="B968" s="1"/>
      <c r="L968" s="72"/>
      <c r="S968" s="72"/>
      <c r="T968" s="72"/>
      <c r="U968" s="81"/>
      <c r="V968" s="81"/>
      <c r="AA968" s="2"/>
    </row>
    <row r="969" ht="12.75" customHeight="1">
      <c r="A969" s="1"/>
      <c r="B969" s="1"/>
      <c r="L969" s="72"/>
      <c r="S969" s="72"/>
      <c r="T969" s="72"/>
      <c r="U969" s="81"/>
      <c r="V969" s="81"/>
      <c r="AA969" s="2"/>
    </row>
    <row r="970" ht="12.75" customHeight="1">
      <c r="A970" s="1"/>
      <c r="B970" s="1"/>
      <c r="L970" s="72"/>
      <c r="S970" s="72"/>
      <c r="T970" s="72"/>
      <c r="U970" s="81"/>
      <c r="V970" s="81"/>
      <c r="AA970" s="2"/>
    </row>
    <row r="971" ht="12.75" customHeight="1">
      <c r="A971" s="1"/>
      <c r="B971" s="1"/>
      <c r="L971" s="72"/>
      <c r="S971" s="72"/>
      <c r="T971" s="72"/>
      <c r="U971" s="81"/>
      <c r="V971" s="81"/>
      <c r="AA971" s="2"/>
    </row>
    <row r="972" ht="12.75" customHeight="1">
      <c r="A972" s="1"/>
      <c r="B972" s="1"/>
      <c r="L972" s="72"/>
      <c r="S972" s="72"/>
      <c r="T972" s="72"/>
      <c r="U972" s="81"/>
      <c r="V972" s="81"/>
      <c r="AA972" s="2"/>
    </row>
    <row r="973" ht="12.75" customHeight="1">
      <c r="A973" s="1"/>
      <c r="B973" s="1"/>
      <c r="L973" s="72"/>
      <c r="S973" s="72"/>
      <c r="T973" s="72"/>
      <c r="U973" s="81"/>
      <c r="V973" s="81"/>
      <c r="AA973" s="2"/>
    </row>
    <row r="974" ht="12.75" customHeight="1">
      <c r="A974" s="1"/>
      <c r="B974" s="1"/>
      <c r="L974" s="72"/>
      <c r="S974" s="72"/>
      <c r="T974" s="72"/>
      <c r="U974" s="81"/>
      <c r="V974" s="81"/>
      <c r="AA974" s="2"/>
    </row>
    <row r="975" ht="12.75" customHeight="1">
      <c r="A975" s="1"/>
      <c r="B975" s="1"/>
      <c r="L975" s="72"/>
      <c r="S975" s="72"/>
      <c r="T975" s="72"/>
      <c r="U975" s="81"/>
      <c r="V975" s="81"/>
      <c r="AA975" s="2"/>
    </row>
    <row r="976" ht="12.75" customHeight="1">
      <c r="A976" s="1"/>
      <c r="B976" s="1"/>
      <c r="L976" s="72"/>
      <c r="S976" s="72"/>
      <c r="T976" s="72"/>
      <c r="U976" s="81"/>
      <c r="V976" s="81"/>
      <c r="AA976" s="2"/>
    </row>
    <row r="977" ht="12.75" customHeight="1">
      <c r="A977" s="1"/>
      <c r="B977" s="1"/>
      <c r="L977" s="72"/>
      <c r="S977" s="72"/>
      <c r="T977" s="72"/>
      <c r="U977" s="81"/>
      <c r="V977" s="81"/>
      <c r="AA977" s="2"/>
    </row>
    <row r="978" ht="12.75" customHeight="1">
      <c r="A978" s="1"/>
      <c r="B978" s="1"/>
      <c r="L978" s="72"/>
      <c r="S978" s="72"/>
      <c r="T978" s="72"/>
      <c r="U978" s="81"/>
      <c r="V978" s="81"/>
      <c r="AA978" s="2"/>
    </row>
    <row r="979" ht="12.75" customHeight="1">
      <c r="A979" s="1"/>
      <c r="B979" s="1"/>
      <c r="L979" s="72"/>
      <c r="S979" s="72"/>
      <c r="T979" s="72"/>
      <c r="U979" s="81"/>
      <c r="V979" s="81"/>
      <c r="AA979" s="2"/>
    </row>
    <row r="980" ht="12.75" customHeight="1">
      <c r="A980" s="1"/>
      <c r="B980" s="1"/>
      <c r="L980" s="72"/>
      <c r="S980" s="72"/>
      <c r="T980" s="72"/>
      <c r="U980" s="81"/>
      <c r="V980" s="81"/>
      <c r="AA980" s="2"/>
    </row>
    <row r="981" ht="12.75" customHeight="1">
      <c r="A981" s="1"/>
      <c r="B981" s="1"/>
      <c r="L981" s="72"/>
      <c r="S981" s="72"/>
      <c r="T981" s="72"/>
      <c r="U981" s="81"/>
      <c r="V981" s="81"/>
      <c r="AA981" s="2"/>
    </row>
    <row r="982" ht="12.75" customHeight="1">
      <c r="A982" s="1"/>
      <c r="B982" s="1"/>
      <c r="L982" s="72"/>
      <c r="S982" s="72"/>
      <c r="T982" s="72"/>
      <c r="U982" s="81"/>
      <c r="V982" s="81"/>
      <c r="AA982" s="2"/>
    </row>
    <row r="983" ht="12.75" customHeight="1">
      <c r="A983" s="1"/>
      <c r="B983" s="1"/>
      <c r="L983" s="72"/>
      <c r="S983" s="72"/>
      <c r="T983" s="72"/>
      <c r="U983" s="81"/>
      <c r="V983" s="81"/>
      <c r="AA983" s="2"/>
    </row>
    <row r="984" ht="12.75" customHeight="1">
      <c r="A984" s="1"/>
      <c r="B984" s="1"/>
      <c r="L984" s="72"/>
      <c r="S984" s="72"/>
      <c r="T984" s="72"/>
      <c r="U984" s="81"/>
      <c r="V984" s="81"/>
      <c r="AA984" s="2"/>
    </row>
    <row r="985" ht="12.75" customHeight="1">
      <c r="A985" s="1"/>
      <c r="B985" s="1"/>
      <c r="L985" s="72"/>
      <c r="S985" s="72"/>
      <c r="T985" s="72"/>
      <c r="U985" s="81"/>
      <c r="V985" s="81"/>
      <c r="AA985" s="2"/>
    </row>
    <row r="986" ht="12.75" customHeight="1">
      <c r="A986" s="1"/>
      <c r="B986" s="1"/>
      <c r="L986" s="72"/>
      <c r="S986" s="72"/>
      <c r="T986" s="72"/>
      <c r="U986" s="81"/>
      <c r="V986" s="81"/>
      <c r="AA986" s="2"/>
    </row>
    <row r="987" ht="12.75" customHeight="1">
      <c r="A987" s="1"/>
      <c r="B987" s="1"/>
      <c r="L987" s="72"/>
      <c r="S987" s="72"/>
      <c r="T987" s="72"/>
      <c r="U987" s="81"/>
      <c r="V987" s="81"/>
      <c r="AA987" s="2"/>
    </row>
    <row r="988" ht="12.75" customHeight="1">
      <c r="A988" s="1"/>
      <c r="B988" s="1"/>
      <c r="L988" s="72"/>
      <c r="S988" s="72"/>
      <c r="T988" s="72"/>
      <c r="U988" s="81"/>
      <c r="V988" s="81"/>
      <c r="AA988" s="2"/>
    </row>
    <row r="989" ht="12.75" customHeight="1">
      <c r="A989" s="1"/>
      <c r="B989" s="1"/>
      <c r="L989" s="72"/>
      <c r="S989" s="72"/>
      <c r="T989" s="72"/>
      <c r="U989" s="81"/>
      <c r="V989" s="81"/>
      <c r="AA989" s="2"/>
    </row>
    <row r="990" ht="12.75" customHeight="1">
      <c r="A990" s="1"/>
      <c r="B990" s="1"/>
      <c r="L990" s="72"/>
      <c r="S990" s="72"/>
      <c r="T990" s="72"/>
      <c r="U990" s="81"/>
      <c r="V990" s="81"/>
      <c r="AA990" s="2"/>
    </row>
    <row r="991" ht="12.75" customHeight="1">
      <c r="A991" s="1"/>
      <c r="B991" s="1"/>
      <c r="L991" s="72"/>
      <c r="S991" s="72"/>
      <c r="T991" s="72"/>
      <c r="U991" s="81"/>
      <c r="V991" s="81"/>
      <c r="AA991" s="2"/>
    </row>
    <row r="992" ht="12.75" customHeight="1">
      <c r="A992" s="1"/>
      <c r="B992" s="1"/>
      <c r="L992" s="72"/>
      <c r="S992" s="72"/>
      <c r="T992" s="72"/>
      <c r="U992" s="81"/>
      <c r="V992" s="81"/>
      <c r="AA992" s="2"/>
    </row>
    <row r="993" ht="12.75" customHeight="1">
      <c r="A993" s="1"/>
      <c r="B993" s="1"/>
      <c r="L993" s="72"/>
      <c r="S993" s="72"/>
      <c r="T993" s="72"/>
      <c r="U993" s="81"/>
      <c r="V993" s="81"/>
      <c r="AA993" s="2"/>
    </row>
    <row r="994" ht="12.75" customHeight="1">
      <c r="A994" s="1"/>
      <c r="B994" s="1"/>
      <c r="L994" s="72"/>
      <c r="S994" s="72"/>
      <c r="T994" s="72"/>
      <c r="U994" s="81"/>
      <c r="V994" s="81"/>
      <c r="AA994" s="2"/>
    </row>
    <row r="995" ht="12.75" customHeight="1">
      <c r="A995" s="1"/>
      <c r="B995" s="1"/>
      <c r="L995" s="72"/>
      <c r="S995" s="72"/>
      <c r="T995" s="72"/>
      <c r="U995" s="81"/>
      <c r="V995" s="81"/>
      <c r="AA995" s="2"/>
    </row>
    <row r="996" ht="12.75" customHeight="1">
      <c r="A996" s="1"/>
      <c r="B996" s="1"/>
      <c r="L996" s="72"/>
      <c r="S996" s="72"/>
      <c r="T996" s="72"/>
      <c r="U996" s="81"/>
      <c r="V996" s="81"/>
      <c r="AA996" s="2"/>
    </row>
    <row r="997" ht="12.75" customHeight="1">
      <c r="A997" s="1"/>
      <c r="B997" s="1"/>
      <c r="L997" s="72"/>
      <c r="S997" s="72"/>
      <c r="T997" s="72"/>
      <c r="U997" s="81"/>
      <c r="V997" s="81"/>
      <c r="AA997" s="2"/>
    </row>
    <row r="998" ht="12.75" customHeight="1">
      <c r="A998" s="1"/>
      <c r="B998" s="1"/>
      <c r="L998" s="72"/>
      <c r="S998" s="72"/>
      <c r="T998" s="72"/>
      <c r="U998" s="81"/>
      <c r="V998" s="81"/>
      <c r="AA998" s="2"/>
    </row>
    <row r="999" ht="12.75" customHeight="1">
      <c r="A999" s="1"/>
      <c r="B999" s="1"/>
      <c r="L999" s="72"/>
      <c r="S999" s="72"/>
      <c r="T999" s="72"/>
      <c r="U999" s="81"/>
      <c r="V999" s="81"/>
      <c r="AA999" s="2"/>
    </row>
    <row r="1000" ht="12.75" customHeight="1">
      <c r="A1000" s="1"/>
      <c r="B1000" s="1"/>
      <c r="L1000" s="72"/>
      <c r="S1000" s="72"/>
      <c r="T1000" s="72"/>
      <c r="U1000" s="81"/>
      <c r="V1000" s="81"/>
      <c r="AA1000" s="2"/>
    </row>
    <row r="1001" ht="12.75" customHeight="1">
      <c r="A1001" s="1"/>
      <c r="B1001" s="1"/>
      <c r="L1001" s="72"/>
      <c r="S1001" s="72"/>
      <c r="T1001" s="72"/>
      <c r="U1001" s="81"/>
      <c r="V1001" s="81"/>
      <c r="AA1001" s="2"/>
    </row>
    <row r="1002" ht="12.75" customHeight="1">
      <c r="A1002" s="1"/>
      <c r="B1002" s="1"/>
      <c r="L1002" s="72"/>
      <c r="S1002" s="72"/>
      <c r="T1002" s="72"/>
      <c r="U1002" s="81"/>
      <c r="V1002" s="81"/>
      <c r="AA1002" s="2"/>
    </row>
    <row r="1003" ht="12.75" customHeight="1">
      <c r="A1003" s="1"/>
      <c r="B1003" s="1"/>
      <c r="L1003" s="72"/>
      <c r="S1003" s="72"/>
      <c r="T1003" s="72"/>
      <c r="U1003" s="81"/>
      <c r="V1003" s="81"/>
      <c r="AA1003" s="2"/>
    </row>
    <row r="1004" ht="12.75" customHeight="1">
      <c r="A1004" s="1"/>
      <c r="B1004" s="1"/>
      <c r="L1004" s="72"/>
      <c r="S1004" s="72"/>
      <c r="T1004" s="72"/>
      <c r="U1004" s="81"/>
      <c r="V1004" s="81"/>
      <c r="AA1004" s="2"/>
    </row>
    <row r="1005" ht="12.75" customHeight="1">
      <c r="A1005" s="1"/>
      <c r="B1005" s="1"/>
      <c r="L1005" s="72"/>
      <c r="S1005" s="72"/>
      <c r="T1005" s="72"/>
      <c r="U1005" s="81"/>
      <c r="V1005" s="81"/>
      <c r="AA1005" s="2"/>
    </row>
    <row r="1006" ht="12.75" customHeight="1">
      <c r="A1006" s="1"/>
      <c r="B1006" s="1"/>
      <c r="L1006" s="72"/>
      <c r="S1006" s="72"/>
      <c r="T1006" s="72"/>
      <c r="U1006" s="81"/>
      <c r="V1006" s="81"/>
      <c r="AA1006" s="2"/>
    </row>
    <row r="1007" ht="12.75" customHeight="1">
      <c r="A1007" s="1"/>
      <c r="B1007" s="1"/>
      <c r="L1007" s="72"/>
      <c r="S1007" s="72"/>
      <c r="T1007" s="72"/>
      <c r="U1007" s="81"/>
      <c r="V1007" s="81"/>
      <c r="AA1007" s="2"/>
    </row>
    <row r="1008" ht="12.75" customHeight="1">
      <c r="A1008" s="1"/>
      <c r="B1008" s="1"/>
      <c r="L1008" s="72"/>
      <c r="S1008" s="72"/>
      <c r="T1008" s="72"/>
      <c r="U1008" s="81"/>
      <c r="V1008" s="81"/>
      <c r="AA1008" s="2"/>
    </row>
    <row r="1009" ht="12.75" customHeight="1">
      <c r="A1009" s="1"/>
      <c r="B1009" s="1"/>
      <c r="L1009" s="72"/>
      <c r="S1009" s="72"/>
      <c r="T1009" s="72"/>
      <c r="U1009" s="81"/>
      <c r="V1009" s="81"/>
      <c r="AA1009" s="2"/>
    </row>
    <row r="1010" ht="12.75" customHeight="1">
      <c r="A1010" s="1"/>
      <c r="B1010" s="1"/>
      <c r="L1010" s="72"/>
      <c r="S1010" s="72"/>
      <c r="T1010" s="72"/>
      <c r="U1010" s="81"/>
      <c r="V1010" s="81"/>
      <c r="AA1010" s="2"/>
    </row>
    <row r="1011" ht="12.75" customHeight="1">
      <c r="A1011" s="1"/>
      <c r="B1011" s="1"/>
      <c r="L1011" s="72"/>
      <c r="S1011" s="72"/>
      <c r="T1011" s="72"/>
      <c r="U1011" s="81"/>
      <c r="V1011" s="81"/>
      <c r="AA1011" s="2"/>
    </row>
    <row r="1012" ht="12.75" customHeight="1">
      <c r="A1012" s="1"/>
      <c r="B1012" s="1"/>
      <c r="L1012" s="72"/>
      <c r="S1012" s="72"/>
      <c r="T1012" s="72"/>
      <c r="U1012" s="81"/>
      <c r="V1012" s="81"/>
      <c r="AA1012" s="2"/>
    </row>
    <row r="1013" ht="12.75" customHeight="1">
      <c r="A1013" s="1"/>
      <c r="B1013" s="1"/>
      <c r="L1013" s="72"/>
      <c r="S1013" s="72"/>
      <c r="T1013" s="72"/>
      <c r="U1013" s="81"/>
      <c r="V1013" s="81"/>
      <c r="AA1013" s="2"/>
    </row>
    <row r="1014" ht="12.75" customHeight="1">
      <c r="A1014" s="1"/>
      <c r="B1014" s="1"/>
      <c r="L1014" s="72"/>
      <c r="S1014" s="72"/>
      <c r="T1014" s="72"/>
      <c r="U1014" s="81"/>
      <c r="V1014" s="81"/>
      <c r="AA1014" s="2"/>
    </row>
    <row r="1015" ht="12.75" customHeight="1">
      <c r="A1015" s="1"/>
      <c r="B1015" s="1"/>
      <c r="L1015" s="72"/>
      <c r="S1015" s="72"/>
      <c r="T1015" s="72"/>
      <c r="U1015" s="81"/>
      <c r="V1015" s="81"/>
      <c r="AA1015" s="2"/>
    </row>
    <row r="1016" ht="12.75" customHeight="1">
      <c r="A1016" s="1"/>
      <c r="B1016" s="1"/>
      <c r="L1016" s="72"/>
      <c r="S1016" s="72"/>
      <c r="T1016" s="72"/>
      <c r="U1016" s="81"/>
      <c r="V1016" s="81"/>
      <c r="AA1016" s="2"/>
    </row>
    <row r="1017" ht="12.75" customHeight="1">
      <c r="A1017" s="1"/>
      <c r="B1017" s="1"/>
      <c r="L1017" s="72"/>
      <c r="S1017" s="72"/>
      <c r="T1017" s="72"/>
      <c r="U1017" s="81"/>
      <c r="V1017" s="81"/>
      <c r="AA1017" s="2"/>
    </row>
    <row r="1018" ht="12.75" customHeight="1">
      <c r="A1018" s="1"/>
      <c r="B1018" s="1"/>
      <c r="L1018" s="72"/>
      <c r="S1018" s="72"/>
      <c r="T1018" s="72"/>
      <c r="U1018" s="81"/>
      <c r="V1018" s="81"/>
      <c r="AA1018" s="2"/>
    </row>
    <row r="1019" ht="12.75" customHeight="1">
      <c r="A1019" s="1"/>
      <c r="B1019" s="1"/>
      <c r="L1019" s="72"/>
      <c r="S1019" s="72"/>
      <c r="T1019" s="72"/>
      <c r="U1019" s="81"/>
      <c r="V1019" s="81"/>
      <c r="AA1019" s="2"/>
    </row>
    <row r="1020" ht="12.75" customHeight="1">
      <c r="A1020" s="1"/>
      <c r="B1020" s="1"/>
      <c r="L1020" s="72"/>
      <c r="S1020" s="72"/>
      <c r="T1020" s="72"/>
      <c r="U1020" s="81"/>
      <c r="V1020" s="81"/>
      <c r="AA1020" s="2"/>
    </row>
    <row r="1021" ht="12.75" customHeight="1">
      <c r="A1021" s="1"/>
      <c r="B1021" s="1"/>
      <c r="L1021" s="72"/>
      <c r="S1021" s="72"/>
      <c r="T1021" s="72"/>
      <c r="U1021" s="81"/>
      <c r="V1021" s="81"/>
      <c r="AA1021" s="2"/>
    </row>
    <row r="1022" ht="12.75" customHeight="1">
      <c r="A1022" s="1"/>
      <c r="B1022" s="1"/>
      <c r="L1022" s="72"/>
      <c r="S1022" s="72"/>
      <c r="T1022" s="72"/>
      <c r="U1022" s="81"/>
      <c r="V1022" s="81"/>
      <c r="AA1022" s="2"/>
    </row>
    <row r="1023" ht="12.75" customHeight="1">
      <c r="A1023" s="1"/>
      <c r="B1023" s="1"/>
      <c r="L1023" s="72"/>
      <c r="S1023" s="72"/>
      <c r="T1023" s="72"/>
      <c r="U1023" s="81"/>
      <c r="V1023" s="81"/>
      <c r="AA1023" s="2"/>
    </row>
    <row r="1024" ht="12.75" customHeight="1">
      <c r="A1024" s="1"/>
      <c r="B1024" s="1"/>
      <c r="L1024" s="72"/>
      <c r="S1024" s="72"/>
      <c r="T1024" s="72"/>
      <c r="U1024" s="81"/>
      <c r="V1024" s="81"/>
      <c r="AA1024" s="2"/>
    </row>
    <row r="1025" ht="12.75" customHeight="1">
      <c r="A1025" s="1"/>
      <c r="B1025" s="1"/>
      <c r="L1025" s="72"/>
      <c r="S1025" s="72"/>
      <c r="T1025" s="72"/>
      <c r="U1025" s="81"/>
      <c r="V1025" s="81"/>
      <c r="AA1025" s="2"/>
    </row>
    <row r="1026" ht="12.75" customHeight="1">
      <c r="A1026" s="1"/>
      <c r="B1026" s="1"/>
      <c r="L1026" s="72"/>
      <c r="S1026" s="72"/>
      <c r="T1026" s="72"/>
      <c r="U1026" s="81"/>
      <c r="V1026" s="81"/>
      <c r="AA1026" s="2"/>
    </row>
    <row r="1027" ht="12.75" customHeight="1">
      <c r="A1027" s="1"/>
      <c r="B1027" s="1"/>
      <c r="L1027" s="72"/>
      <c r="S1027" s="72"/>
      <c r="T1027" s="72"/>
      <c r="U1027" s="81"/>
      <c r="V1027" s="81"/>
      <c r="AA1027" s="2"/>
    </row>
    <row r="1028" ht="12.75" customHeight="1">
      <c r="A1028" s="1"/>
      <c r="B1028" s="1"/>
      <c r="L1028" s="72"/>
      <c r="S1028" s="72"/>
      <c r="T1028" s="72"/>
      <c r="U1028" s="81"/>
      <c r="V1028" s="81"/>
      <c r="AA1028" s="2"/>
    </row>
    <row r="1029" ht="12.75" customHeight="1">
      <c r="A1029" s="1"/>
      <c r="B1029" s="1"/>
      <c r="L1029" s="72"/>
      <c r="S1029" s="72"/>
      <c r="T1029" s="72"/>
      <c r="U1029" s="81"/>
      <c r="V1029" s="81"/>
      <c r="AA1029" s="2"/>
    </row>
    <row r="1030" ht="12.75" customHeight="1">
      <c r="A1030" s="1"/>
      <c r="B1030" s="1"/>
      <c r="L1030" s="72"/>
      <c r="S1030" s="72"/>
      <c r="T1030" s="72"/>
      <c r="U1030" s="81"/>
      <c r="V1030" s="81"/>
      <c r="AA1030" s="2"/>
    </row>
    <row r="1031" ht="12.75" customHeight="1">
      <c r="A1031" s="1"/>
      <c r="B1031" s="1"/>
      <c r="L1031" s="72"/>
      <c r="S1031" s="72"/>
      <c r="T1031" s="72"/>
      <c r="U1031" s="81"/>
      <c r="V1031" s="81"/>
      <c r="AA1031" s="2"/>
    </row>
    <row r="1032" ht="12.75" customHeight="1">
      <c r="A1032" s="1"/>
      <c r="B1032" s="1"/>
      <c r="L1032" s="72"/>
      <c r="S1032" s="72"/>
      <c r="T1032" s="72"/>
      <c r="U1032" s="81"/>
      <c r="V1032" s="81"/>
      <c r="AA1032" s="2"/>
    </row>
    <row r="1033" ht="12.75" customHeight="1">
      <c r="A1033" s="1"/>
      <c r="B1033" s="1"/>
      <c r="L1033" s="72"/>
      <c r="S1033" s="72"/>
      <c r="T1033" s="72"/>
      <c r="U1033" s="81"/>
      <c r="V1033" s="81"/>
      <c r="AA1033" s="2"/>
    </row>
    <row r="1034" ht="12.75" customHeight="1">
      <c r="A1034" s="1"/>
      <c r="B1034" s="1"/>
      <c r="L1034" s="72"/>
      <c r="S1034" s="72"/>
      <c r="T1034" s="72"/>
      <c r="U1034" s="81"/>
      <c r="V1034" s="81"/>
      <c r="AA1034" s="2"/>
    </row>
    <row r="1035" ht="12.75" customHeight="1">
      <c r="A1035" s="1"/>
      <c r="B1035" s="1"/>
      <c r="L1035" s="72"/>
      <c r="S1035" s="72"/>
      <c r="T1035" s="72"/>
      <c r="U1035" s="81"/>
      <c r="V1035" s="81"/>
      <c r="AA1035" s="2"/>
    </row>
    <row r="1036" ht="12.75" customHeight="1">
      <c r="A1036" s="1"/>
      <c r="B1036" s="1"/>
      <c r="L1036" s="72"/>
      <c r="S1036" s="72"/>
      <c r="T1036" s="72"/>
      <c r="U1036" s="81"/>
      <c r="V1036" s="81"/>
      <c r="AA1036" s="2"/>
    </row>
    <row r="1037" ht="12.75" customHeight="1">
      <c r="A1037" s="1"/>
      <c r="B1037" s="1"/>
      <c r="L1037" s="72"/>
      <c r="S1037" s="72"/>
      <c r="T1037" s="72"/>
      <c r="U1037" s="81"/>
      <c r="V1037" s="81"/>
      <c r="AA1037" s="2"/>
    </row>
    <row r="1038" ht="12.75" customHeight="1">
      <c r="A1038" s="1"/>
      <c r="B1038" s="1"/>
      <c r="L1038" s="72"/>
      <c r="S1038" s="72"/>
      <c r="T1038" s="72"/>
      <c r="U1038" s="81"/>
      <c r="V1038" s="81"/>
      <c r="AA1038" s="2"/>
    </row>
    <row r="1039" ht="12.75" customHeight="1">
      <c r="A1039" s="1"/>
      <c r="B1039" s="1"/>
      <c r="L1039" s="72"/>
      <c r="S1039" s="72"/>
      <c r="T1039" s="72"/>
      <c r="U1039" s="81"/>
      <c r="V1039" s="81"/>
      <c r="AA1039" s="2"/>
    </row>
    <row r="1040" ht="12.75" customHeight="1">
      <c r="A1040" s="1"/>
      <c r="B1040" s="1"/>
      <c r="L1040" s="72"/>
      <c r="S1040" s="72"/>
      <c r="T1040" s="72"/>
      <c r="U1040" s="81"/>
      <c r="V1040" s="81"/>
      <c r="AA1040" s="2"/>
    </row>
  </sheetData>
  <mergeCells count="36">
    <mergeCell ref="K25:L25"/>
    <mergeCell ref="O25:P25"/>
    <mergeCell ref="AG3:AH3"/>
    <mergeCell ref="AG13:AH13"/>
    <mergeCell ref="D23:E23"/>
    <mergeCell ref="J23:K23"/>
    <mergeCell ref="P23:Q23"/>
    <mergeCell ref="AG23:AH23"/>
    <mergeCell ref="C25:D25"/>
    <mergeCell ref="Q25:R25"/>
    <mergeCell ref="E25:F25"/>
    <mergeCell ref="I25:J25"/>
    <mergeCell ref="E45:F45"/>
    <mergeCell ref="I45:J45"/>
    <mergeCell ref="K45:L45"/>
    <mergeCell ref="O45:P45"/>
    <mergeCell ref="Q45:R45"/>
    <mergeCell ref="C45:D45"/>
    <mergeCell ref="C65:D65"/>
    <mergeCell ref="E65:F65"/>
    <mergeCell ref="I65:J65"/>
    <mergeCell ref="K65:L65"/>
    <mergeCell ref="O65:P65"/>
    <mergeCell ref="Q65:R65"/>
    <mergeCell ref="E105:F105"/>
    <mergeCell ref="I105:J105"/>
    <mergeCell ref="K105:L105"/>
    <mergeCell ref="O105:P105"/>
    <mergeCell ref="C85:D85"/>
    <mergeCell ref="E85:F85"/>
    <mergeCell ref="I85:J85"/>
    <mergeCell ref="K85:L85"/>
    <mergeCell ref="O85:P85"/>
    <mergeCell ref="Q85:R85"/>
    <mergeCell ref="C105:D105"/>
    <mergeCell ref="Q105:R105"/>
  </mergeCells>
  <printOptions/>
  <pageMargins bottom="0.7875" footer="0.0" header="0.0" left="0.7875" right="0.787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8" width="7.63"/>
    <col customWidth="1" min="19" max="20" width="11.38"/>
    <col customWidth="1" min="21" max="26" width="3.88"/>
    <col customWidth="1" min="27" max="27" width="11.25"/>
    <col customWidth="1" min="28" max="30" width="3.88"/>
    <col customWidth="1" min="31" max="31" width="7.25"/>
    <col customWidth="1" min="32" max="32" width="8.25"/>
    <col customWidth="1" min="33" max="33" width="7.0"/>
    <col customWidth="1" min="34" max="34" width="15.38"/>
    <col customWidth="1" min="35" max="35" width="11.88"/>
  </cols>
  <sheetData>
    <row r="1" ht="12.75" customHeight="1">
      <c r="W1" s="1"/>
      <c r="AA1" s="2"/>
    </row>
    <row r="2" ht="12.75" customHeight="1">
      <c r="S2" s="1"/>
      <c r="T2" s="1"/>
      <c r="U2" s="3"/>
      <c r="V2" s="4"/>
      <c r="W2" s="3"/>
      <c r="X2" s="4"/>
      <c r="Y2" s="3"/>
      <c r="Z2" s="4"/>
      <c r="AA2" s="5"/>
      <c r="AB2" s="4"/>
      <c r="AC2" s="4"/>
      <c r="AD2" s="4"/>
    </row>
    <row r="3" ht="12.75" customHeight="1">
      <c r="L3" s="1" t="s">
        <v>0</v>
      </c>
      <c r="M3" s="82" t="str">
        <f>C25</f>
        <v>Mittens</v>
      </c>
      <c r="N3" s="7" t="str">
        <f>E25</f>
        <v>Berend</v>
      </c>
      <c r="O3" s="8" t="str">
        <f>if(AND(C41 = 0, F41 = 0), "Pending", "")</f>
        <v/>
      </c>
      <c r="S3" s="1"/>
      <c r="T3" s="9" t="s">
        <v>1</v>
      </c>
      <c r="U3" s="10" t="str">
        <f>T4</f>
        <v>Berend</v>
      </c>
      <c r="V3" s="11" t="str">
        <f>T5</f>
        <v>Judith</v>
      </c>
      <c r="W3" s="10" t="str">
        <f>T6</f>
        <v>Tjeard</v>
      </c>
      <c r="X3" s="11" t="str">
        <f>T7</f>
        <v>Daniel</v>
      </c>
      <c r="Y3" s="10" t="str">
        <f>T8</f>
        <v>Frank</v>
      </c>
      <c r="Z3" s="11" t="str">
        <f>T9</f>
        <v>Mittens</v>
      </c>
      <c r="AA3" s="12" t="s">
        <v>2</v>
      </c>
      <c r="AB3" s="11" t="s">
        <v>3</v>
      </c>
      <c r="AC3" s="11" t="s">
        <v>4</v>
      </c>
      <c r="AD3" s="11" t="s">
        <v>5</v>
      </c>
      <c r="AE3" s="13"/>
      <c r="AF3" s="13"/>
      <c r="AG3" s="14" t="s">
        <v>6</v>
      </c>
      <c r="AH3" s="15"/>
      <c r="AI3" s="16" t="s">
        <v>7</v>
      </c>
    </row>
    <row r="4" ht="12.75" customHeight="1">
      <c r="L4" s="1" t="s">
        <v>8</v>
      </c>
      <c r="M4" s="82" t="str">
        <f>C45</f>
        <v>Judith</v>
      </c>
      <c r="N4" s="7" t="str">
        <f>E45</f>
        <v>Frank</v>
      </c>
      <c r="O4" s="8" t="str">
        <f>if(AND(C61 = 0, F61 = 0), "Pending", "")</f>
        <v/>
      </c>
      <c r="S4" s="17"/>
      <c r="T4" s="18" t="str">
        <f t="shared" ref="T4:T9" si="1">H8</f>
        <v>Berend</v>
      </c>
      <c r="U4" s="19"/>
      <c r="V4" s="20">
        <f>F122</f>
        <v>-1</v>
      </c>
      <c r="W4" s="20">
        <f>L102</f>
        <v>1</v>
      </c>
      <c r="X4" s="20">
        <f>R62</f>
        <v>-1</v>
      </c>
      <c r="Y4" s="20">
        <f>R122</f>
        <v>-1</v>
      </c>
      <c r="Z4" s="20">
        <f>C42</f>
        <v>-1</v>
      </c>
      <c r="AA4" s="21">
        <f t="shared" ref="AA4:AA9" si="2">SUMIF(U4:Z4, "&gt;0")</f>
        <v>1</v>
      </c>
      <c r="AB4" s="22">
        <f>U10</f>
        <v>4</v>
      </c>
      <c r="AC4" s="22">
        <f t="shared" ref="AC4:AC9" si="3">AA4</f>
        <v>1</v>
      </c>
      <c r="AD4" s="23">
        <f t="shared" ref="AD4:AD9" si="4">AB4-AC4+(0.01*AD14)+(0.001*AD24)</f>
        <v>2.854</v>
      </c>
      <c r="AE4" s="9" t="str">
        <f t="shared" ref="AE4:AE9" si="5">T4</f>
        <v>Berend</v>
      </c>
      <c r="AF4" s="13"/>
      <c r="AG4" s="24">
        <f t="array" ref="AG4:AH9">sort(AD4:AE9, 1, FALSE)</f>
        <v>2.854</v>
      </c>
      <c r="AH4" s="25" t="s">
        <v>60</v>
      </c>
      <c r="AI4" s="26" t="s">
        <v>10</v>
      </c>
    </row>
    <row r="5" ht="12.75" customHeight="1">
      <c r="L5" s="1" t="s">
        <v>11</v>
      </c>
      <c r="M5" s="82" t="str">
        <f>C65</f>
        <v>Tjeard</v>
      </c>
      <c r="N5" s="7" t="str">
        <f>E65</f>
        <v>Daniel</v>
      </c>
      <c r="O5" s="8" t="str">
        <f>if(AND(C81 = 0, F81 = 0), "Pending", "")</f>
        <v/>
      </c>
      <c r="S5" s="17"/>
      <c r="T5" s="18" t="str">
        <f t="shared" si="1"/>
        <v>Judith</v>
      </c>
      <c r="U5" s="20">
        <f>C122</f>
        <v>1</v>
      </c>
      <c r="V5" s="27"/>
      <c r="W5" s="20">
        <f>R82</f>
        <v>1</v>
      </c>
      <c r="X5" s="20">
        <f>L122</f>
        <v>-1</v>
      </c>
      <c r="Y5" s="20">
        <f>F62</f>
        <v>1</v>
      </c>
      <c r="Z5" s="20">
        <f>L82</f>
        <v>-1</v>
      </c>
      <c r="AA5" s="21">
        <f t="shared" si="2"/>
        <v>3</v>
      </c>
      <c r="AB5" s="22">
        <f>V10</f>
        <v>2</v>
      </c>
      <c r="AC5" s="22">
        <f t="shared" si="3"/>
        <v>3</v>
      </c>
      <c r="AD5" s="23">
        <f t="shared" si="4"/>
        <v>-1.152</v>
      </c>
      <c r="AE5" s="9" t="str">
        <f t="shared" si="5"/>
        <v>Judith</v>
      </c>
      <c r="AF5" s="13"/>
      <c r="AG5" s="24">
        <v>2.8289999999999997</v>
      </c>
      <c r="AH5" s="25" t="s">
        <v>61</v>
      </c>
      <c r="AI5" s="26" t="s">
        <v>10</v>
      </c>
    </row>
    <row r="6" ht="12.75" customHeight="1">
      <c r="H6" s="28" t="s">
        <v>13</v>
      </c>
      <c r="L6" s="1" t="s">
        <v>14</v>
      </c>
      <c r="M6" s="82" t="str">
        <f>C85</f>
        <v>Mittens</v>
      </c>
      <c r="N6" s="7" t="str">
        <f>E85</f>
        <v>Frank</v>
      </c>
      <c r="O6" s="8" t="str">
        <f>if(AND(C101 = 0, F101 = 0), "Pending", "")</f>
        <v/>
      </c>
      <c r="S6" s="17"/>
      <c r="T6" s="18" t="str">
        <f t="shared" si="1"/>
        <v>Tjeard</v>
      </c>
      <c r="U6" s="20">
        <f>I102</f>
        <v>-1</v>
      </c>
      <c r="V6" s="20">
        <f>O82</f>
        <v>-1</v>
      </c>
      <c r="W6" s="27"/>
      <c r="X6" s="20">
        <f>F82</f>
        <v>1</v>
      </c>
      <c r="Y6" s="20">
        <f>R42</f>
        <v>-1</v>
      </c>
      <c r="Z6" s="20">
        <f>I42</f>
        <v>-1</v>
      </c>
      <c r="AA6" s="21">
        <f t="shared" si="2"/>
        <v>1</v>
      </c>
      <c r="AB6" s="22">
        <f>W10</f>
        <v>4</v>
      </c>
      <c r="AC6" s="22">
        <f t="shared" si="3"/>
        <v>1</v>
      </c>
      <c r="AD6" s="23">
        <f t="shared" si="4"/>
        <v>2.829</v>
      </c>
      <c r="AE6" s="9" t="str">
        <f t="shared" si="5"/>
        <v>Tjeard</v>
      </c>
      <c r="AF6" s="13"/>
      <c r="AG6" s="24">
        <v>-1.068</v>
      </c>
      <c r="AH6" s="9" t="s">
        <v>62</v>
      </c>
      <c r="AI6" s="26" t="s">
        <v>16</v>
      </c>
    </row>
    <row r="7" ht="12.75" customHeight="1">
      <c r="H7" s="29"/>
      <c r="L7" s="1" t="s">
        <v>17</v>
      </c>
      <c r="M7" s="82" t="str">
        <f>C105</f>
        <v>Berend</v>
      </c>
      <c r="N7" s="7" t="str">
        <f>E105</f>
        <v>Judith</v>
      </c>
      <c r="O7" s="8" t="str">
        <f>if(AND(C121 = 0, F121 = 0), "Pending", "")</f>
        <v/>
      </c>
      <c r="S7" s="17"/>
      <c r="T7" s="18" t="str">
        <f t="shared" si="1"/>
        <v>Daniel</v>
      </c>
      <c r="U7" s="20">
        <f>O62</f>
        <v>1</v>
      </c>
      <c r="V7" s="20">
        <f>I122</f>
        <v>1</v>
      </c>
      <c r="W7" s="20">
        <f>C82</f>
        <v>-1</v>
      </c>
      <c r="X7" s="27"/>
      <c r="Y7" s="20">
        <f>L62</f>
        <v>0</v>
      </c>
      <c r="Z7" s="20">
        <f>R102</f>
        <v>1</v>
      </c>
      <c r="AA7" s="21">
        <f t="shared" si="2"/>
        <v>3</v>
      </c>
      <c r="AB7" s="22">
        <f>X10</f>
        <v>1</v>
      </c>
      <c r="AC7" s="22">
        <f t="shared" si="3"/>
        <v>3</v>
      </c>
      <c r="AD7" s="23">
        <f t="shared" si="4"/>
        <v>-2.123</v>
      </c>
      <c r="AE7" s="9" t="str">
        <f t="shared" si="5"/>
        <v>Daniel</v>
      </c>
      <c r="AF7" s="13"/>
      <c r="AG7" s="24">
        <v>-1.1520000000000001</v>
      </c>
      <c r="AH7" s="30" t="s">
        <v>63</v>
      </c>
    </row>
    <row r="8" ht="12.75" customHeight="1">
      <c r="H8" s="31" t="s">
        <v>60</v>
      </c>
      <c r="L8" s="1" t="s">
        <v>20</v>
      </c>
      <c r="M8" s="82" t="str">
        <f>I25</f>
        <v>Mittens</v>
      </c>
      <c r="N8" s="7" t="str">
        <f>K25</f>
        <v>Tjeard</v>
      </c>
      <c r="O8" s="8" t="str">
        <f>if(AND(I41 = 0, L41 = 0), "Pending", "")</f>
        <v/>
      </c>
      <c r="S8" s="17"/>
      <c r="T8" s="18" t="str">
        <f t="shared" si="1"/>
        <v>Frank</v>
      </c>
      <c r="U8" s="20">
        <f>O122</f>
        <v>1</v>
      </c>
      <c r="V8" s="20">
        <f>C62</f>
        <v>-1</v>
      </c>
      <c r="W8" s="20">
        <f>O42</f>
        <v>1</v>
      </c>
      <c r="X8" s="20">
        <f>I62</f>
        <v>0</v>
      </c>
      <c r="Y8" s="27"/>
      <c r="Z8" s="20">
        <f>C102</f>
        <v>1</v>
      </c>
      <c r="AA8" s="21">
        <f t="shared" si="2"/>
        <v>3</v>
      </c>
      <c r="AB8" s="22">
        <f>Y10</f>
        <v>1</v>
      </c>
      <c r="AC8" s="22">
        <f t="shared" si="3"/>
        <v>3</v>
      </c>
      <c r="AD8" s="23">
        <f t="shared" si="4"/>
        <v>-2.12</v>
      </c>
      <c r="AE8" s="9" t="str">
        <f t="shared" si="5"/>
        <v>Frank</v>
      </c>
      <c r="AF8" s="13"/>
      <c r="AG8" s="24">
        <v>-2.1199999999999997</v>
      </c>
      <c r="AH8" s="30" t="s">
        <v>64</v>
      </c>
    </row>
    <row r="9" ht="12.75" customHeight="1">
      <c r="H9" s="31" t="s">
        <v>63</v>
      </c>
      <c r="L9" s="1" t="s">
        <v>21</v>
      </c>
      <c r="M9" s="82" t="str">
        <f>I45</f>
        <v>Daniel</v>
      </c>
      <c r="N9" s="7" t="str">
        <f>K45</f>
        <v>Frank</v>
      </c>
      <c r="O9" s="8" t="str">
        <f>if(AND(I61 = 0, L61 = 0), "Pending", "")</f>
        <v/>
      </c>
      <c r="S9" s="17"/>
      <c r="T9" s="18" t="str">
        <f t="shared" si="1"/>
        <v>Mittens</v>
      </c>
      <c r="U9" s="20">
        <f>F42</f>
        <v>1</v>
      </c>
      <c r="V9" s="20">
        <f>I82</f>
        <v>1</v>
      </c>
      <c r="W9" s="20">
        <f>L42</f>
        <v>1</v>
      </c>
      <c r="X9" s="20">
        <f>O102</f>
        <v>-1</v>
      </c>
      <c r="Y9" s="20">
        <f>F102</f>
        <v>-1</v>
      </c>
      <c r="Z9" s="27"/>
      <c r="AA9" s="21">
        <f t="shared" si="2"/>
        <v>3</v>
      </c>
      <c r="AB9" s="22">
        <f>Z10</f>
        <v>2</v>
      </c>
      <c r="AC9" s="22">
        <f t="shared" si="3"/>
        <v>3</v>
      </c>
      <c r="AD9" s="23">
        <f t="shared" si="4"/>
        <v>-1.068</v>
      </c>
      <c r="AE9" s="9" t="str">
        <f t="shared" si="5"/>
        <v>Mittens</v>
      </c>
      <c r="AF9" s="13"/>
      <c r="AG9" s="24">
        <v>-2.1229999999999998</v>
      </c>
      <c r="AH9" s="30" t="s">
        <v>65</v>
      </c>
    </row>
    <row r="10" ht="12.75" customHeight="1">
      <c r="H10" s="32" t="s">
        <v>61</v>
      </c>
      <c r="L10" s="1" t="s">
        <v>23</v>
      </c>
      <c r="M10" s="82" t="str">
        <f>I65</f>
        <v>Judith</v>
      </c>
      <c r="N10" s="7" t="str">
        <f>K65</f>
        <v>Mittens</v>
      </c>
      <c r="O10" s="8" t="str">
        <f>if(AND(I81 = 0, L81 = 0), "Pending", "")</f>
        <v/>
      </c>
      <c r="S10" s="17"/>
      <c r="T10" s="18" t="s">
        <v>24</v>
      </c>
      <c r="U10" s="11">
        <f t="shared" ref="U10:Z10" si="6">SUMIF(U4:U9, "&gt;0" ,U4:U9)</f>
        <v>4</v>
      </c>
      <c r="V10" s="11">
        <f t="shared" si="6"/>
        <v>2</v>
      </c>
      <c r="W10" s="11">
        <f t="shared" si="6"/>
        <v>4</v>
      </c>
      <c r="X10" s="11">
        <f t="shared" si="6"/>
        <v>1</v>
      </c>
      <c r="Y10" s="11">
        <f t="shared" si="6"/>
        <v>1</v>
      </c>
      <c r="Z10" s="11">
        <f t="shared" si="6"/>
        <v>2</v>
      </c>
      <c r="AA10" s="33"/>
      <c r="AB10" s="13"/>
      <c r="AC10" s="13"/>
      <c r="AD10" s="13"/>
      <c r="AE10" s="13"/>
      <c r="AF10" s="13"/>
      <c r="AG10" s="13"/>
      <c r="AH10" s="13"/>
    </row>
    <row r="11" ht="12.75" customHeight="1">
      <c r="H11" s="31" t="s">
        <v>65</v>
      </c>
      <c r="L11" s="1" t="s">
        <v>25</v>
      </c>
      <c r="M11" s="82" t="str">
        <f>I85</f>
        <v>Berend</v>
      </c>
      <c r="N11" s="7" t="str">
        <f>K85</f>
        <v>Tjeard</v>
      </c>
      <c r="O11" s="8" t="str">
        <f>if(AND(I101 = 0, L101 = 0), "Pending", "")</f>
        <v/>
      </c>
      <c r="S11" s="1"/>
      <c r="T11" s="9"/>
      <c r="U11" s="11" t="str">
        <f t="shared" ref="U11:Z11" si="7">U3</f>
        <v>Berend</v>
      </c>
      <c r="V11" s="11" t="str">
        <f t="shared" si="7"/>
        <v>Judith</v>
      </c>
      <c r="W11" s="11" t="str">
        <f t="shared" si="7"/>
        <v>Tjeard</v>
      </c>
      <c r="X11" s="11" t="str">
        <f t="shared" si="7"/>
        <v>Daniel</v>
      </c>
      <c r="Y11" s="11" t="str">
        <f t="shared" si="7"/>
        <v>Frank</v>
      </c>
      <c r="Z11" s="11" t="str">
        <f t="shared" si="7"/>
        <v>Mittens</v>
      </c>
      <c r="AA11" s="33"/>
      <c r="AB11" s="13"/>
      <c r="AC11" s="13"/>
      <c r="AD11" s="13"/>
      <c r="AE11" s="13"/>
      <c r="AF11" s="13"/>
      <c r="AG11" s="13"/>
      <c r="AH11" s="13"/>
    </row>
    <row r="12" ht="12.75" customHeight="1">
      <c r="H12" s="31" t="s">
        <v>64</v>
      </c>
      <c r="L12" s="1" t="s">
        <v>26</v>
      </c>
      <c r="M12" s="82" t="str">
        <f>I105</f>
        <v>Judith</v>
      </c>
      <c r="N12" s="7" t="str">
        <f>K105</f>
        <v>Daniel</v>
      </c>
      <c r="O12" s="8" t="str">
        <f>if(AND(I121 = 0, L121 = 0), "Pending", "")</f>
        <v/>
      </c>
      <c r="AA12" s="2"/>
    </row>
    <row r="13" ht="12.75" customHeight="1">
      <c r="H13" s="31" t="s">
        <v>62</v>
      </c>
      <c r="L13" s="1" t="s">
        <v>27</v>
      </c>
      <c r="M13" s="82" t="str">
        <f>O25</f>
        <v>Tjeard</v>
      </c>
      <c r="N13" s="7" t="str">
        <f>Q25</f>
        <v>Frank</v>
      </c>
      <c r="O13" s="8" t="str">
        <f>if(AND(O41 = 0, R41 = 0), "Pending", "")</f>
        <v/>
      </c>
      <c r="S13" s="1"/>
      <c r="T13" s="35" t="s">
        <v>28</v>
      </c>
      <c r="U13" s="36" t="str">
        <f>T14</f>
        <v>Berend</v>
      </c>
      <c r="V13" s="37" t="str">
        <f>T15</f>
        <v>Judith</v>
      </c>
      <c r="W13" s="36" t="str">
        <f>T16</f>
        <v>Tjeard</v>
      </c>
      <c r="X13" s="37" t="str">
        <f>T17</f>
        <v>Daniel</v>
      </c>
      <c r="Y13" s="36" t="str">
        <f>T18</f>
        <v>Frank</v>
      </c>
      <c r="Z13" s="37" t="str">
        <f>T19</f>
        <v>Mittens</v>
      </c>
      <c r="AA13" s="35" t="s">
        <v>28</v>
      </c>
      <c r="AB13" s="37"/>
      <c r="AC13" s="37"/>
      <c r="AD13" s="37" t="s">
        <v>5</v>
      </c>
      <c r="AE13" s="38"/>
      <c r="AF13" s="38"/>
      <c r="AG13" s="39" t="s">
        <v>6</v>
      </c>
      <c r="AH13" s="15"/>
      <c r="AI13" s="40" t="s">
        <v>29</v>
      </c>
    </row>
    <row r="14" ht="12.75" customHeight="1">
      <c r="L14" s="1" t="s">
        <v>30</v>
      </c>
      <c r="M14" s="82" t="str">
        <f>O45</f>
        <v>Berend</v>
      </c>
      <c r="N14" s="7" t="str">
        <f>Q45</f>
        <v>Daniel</v>
      </c>
      <c r="O14" s="8" t="str">
        <f>if(AND(O61 = 0, R61 = 0), "Pending", "")</f>
        <v/>
      </c>
      <c r="S14" s="17"/>
      <c r="T14" s="42" t="str">
        <f t="shared" ref="T14:T19" si="8">H8</f>
        <v>Berend</v>
      </c>
      <c r="U14" s="43"/>
      <c r="V14" s="44">
        <f>E121</f>
        <v>2</v>
      </c>
      <c r="W14" s="44">
        <f>K101</f>
        <v>7</v>
      </c>
      <c r="X14" s="44">
        <f>Q61</f>
        <v>2</v>
      </c>
      <c r="Y14" s="44">
        <f>Q121</f>
        <v>1</v>
      </c>
      <c r="Z14" s="44">
        <f>D41</f>
        <v>5</v>
      </c>
      <c r="AA14" s="45">
        <f t="shared" ref="AA14:AA19" si="9">SUMIF(U14:Z14, "&gt;0")</f>
        <v>17</v>
      </c>
      <c r="AB14" s="46"/>
      <c r="AC14" s="46"/>
      <c r="AD14" s="46">
        <f t="shared" ref="AD14:AD19" si="10">-AA14</f>
        <v>-17</v>
      </c>
      <c r="AE14" s="47" t="str">
        <f t="shared" ref="AE14:AE19" si="11">T14</f>
        <v>Berend</v>
      </c>
      <c r="AF14" s="38"/>
      <c r="AG14" s="42">
        <f t="array" ref="AG14:AH19">SORT(AD14:AE19, 1, FALSE)</f>
        <v>-9</v>
      </c>
      <c r="AH14" s="48" t="s">
        <v>64</v>
      </c>
      <c r="AI14" s="49" t="s">
        <v>10</v>
      </c>
    </row>
    <row r="15" ht="12.75" customHeight="1">
      <c r="L15" s="1" t="s">
        <v>31</v>
      </c>
      <c r="M15" s="82" t="str">
        <f>O65</f>
        <v>Judith</v>
      </c>
      <c r="N15" s="7" t="str">
        <f>Q65</f>
        <v>Tjeard</v>
      </c>
      <c r="O15" s="8" t="str">
        <f>if(AND(O81 = 0, R81 = 0), "Pending", "")</f>
        <v/>
      </c>
      <c r="S15" s="17"/>
      <c r="T15" s="42" t="str">
        <f t="shared" si="8"/>
        <v>Judith</v>
      </c>
      <c r="U15" s="44">
        <f>D121</f>
        <v>2</v>
      </c>
      <c r="V15" s="43"/>
      <c r="W15" s="44">
        <f>Q81</f>
        <v>3</v>
      </c>
      <c r="X15" s="44">
        <f>K121</f>
        <v>5</v>
      </c>
      <c r="Y15" s="44">
        <f>E61</f>
        <v>4</v>
      </c>
      <c r="Z15" s="44">
        <f>K81</f>
        <v>0</v>
      </c>
      <c r="AA15" s="45">
        <f t="shared" si="9"/>
        <v>14</v>
      </c>
      <c r="AB15" s="46"/>
      <c r="AC15" s="46"/>
      <c r="AD15" s="46">
        <f t="shared" si="10"/>
        <v>-14</v>
      </c>
      <c r="AE15" s="47" t="str">
        <f t="shared" si="11"/>
        <v>Judith</v>
      </c>
      <c r="AF15" s="38"/>
      <c r="AG15" s="42">
        <v>-9.0</v>
      </c>
      <c r="AH15" s="48" t="s">
        <v>62</v>
      </c>
      <c r="AI15" s="49" t="s">
        <v>10</v>
      </c>
    </row>
    <row r="16" ht="12.75" customHeight="1">
      <c r="L16" s="1" t="s">
        <v>32</v>
      </c>
      <c r="M16" s="82" t="str">
        <f>O85</f>
        <v>Daniel</v>
      </c>
      <c r="N16" s="7" t="str">
        <f>Q85</f>
        <v>Mittens</v>
      </c>
      <c r="O16" s="8" t="str">
        <f>if(AND(O101 = 0, R101 = 0), "Pending", "")</f>
        <v/>
      </c>
      <c r="S16" s="17"/>
      <c r="T16" s="42" t="str">
        <f t="shared" si="8"/>
        <v>Tjeard</v>
      </c>
      <c r="U16" s="44">
        <f>J101</f>
        <v>7</v>
      </c>
      <c r="V16" s="44">
        <f>P81</f>
        <v>3</v>
      </c>
      <c r="W16" s="43"/>
      <c r="X16" s="44">
        <f>E81</f>
        <v>3</v>
      </c>
      <c r="Y16" s="44">
        <f>Q41</f>
        <v>2</v>
      </c>
      <c r="Z16" s="44">
        <f>J41</f>
        <v>3</v>
      </c>
      <c r="AA16" s="45">
        <f t="shared" si="9"/>
        <v>18</v>
      </c>
      <c r="AB16" s="46"/>
      <c r="AC16" s="46"/>
      <c r="AD16" s="46">
        <f t="shared" si="10"/>
        <v>-18</v>
      </c>
      <c r="AE16" s="47" t="str">
        <f t="shared" si="11"/>
        <v>Tjeard</v>
      </c>
      <c r="AF16" s="38"/>
      <c r="AG16" s="42">
        <v>-11.0</v>
      </c>
      <c r="AH16" s="47" t="s">
        <v>65</v>
      </c>
      <c r="AI16" s="49" t="s">
        <v>16</v>
      </c>
    </row>
    <row r="17" ht="12.75" customHeight="1">
      <c r="L17" s="1" t="s">
        <v>33</v>
      </c>
      <c r="M17" s="82" t="str">
        <f>O105</f>
        <v>Berend</v>
      </c>
      <c r="N17" s="7" t="str">
        <f>Q105</f>
        <v>Frank</v>
      </c>
      <c r="O17" s="8" t="str">
        <f>if(AND(O121 = 0, R121 = 0), "Pending", "")</f>
        <v/>
      </c>
      <c r="S17" s="17"/>
      <c r="T17" s="42" t="str">
        <f t="shared" si="8"/>
        <v>Daniel</v>
      </c>
      <c r="U17" s="44">
        <f>P61</f>
        <v>2</v>
      </c>
      <c r="V17" s="44">
        <f>J121</f>
        <v>5</v>
      </c>
      <c r="W17" s="44">
        <f>D81</f>
        <v>3</v>
      </c>
      <c r="X17" s="43"/>
      <c r="Y17" s="44">
        <f>K61</f>
        <v>1</v>
      </c>
      <c r="Z17" s="44">
        <f>Q101</f>
        <v>0</v>
      </c>
      <c r="AA17" s="45">
        <f t="shared" si="9"/>
        <v>11</v>
      </c>
      <c r="AB17" s="46"/>
      <c r="AC17" s="46"/>
      <c r="AD17" s="46">
        <f t="shared" si="10"/>
        <v>-11</v>
      </c>
      <c r="AE17" s="47" t="str">
        <f t="shared" si="11"/>
        <v>Daniel</v>
      </c>
      <c r="AF17" s="38"/>
      <c r="AG17" s="42">
        <v>-14.0</v>
      </c>
      <c r="AH17" s="50" t="s">
        <v>63</v>
      </c>
      <c r="AI17" s="49"/>
    </row>
    <row r="18" ht="12.75" customHeight="1">
      <c r="S18" s="17"/>
      <c r="T18" s="42" t="str">
        <f t="shared" si="8"/>
        <v>Frank</v>
      </c>
      <c r="U18" s="44">
        <f>P121</f>
        <v>1</v>
      </c>
      <c r="V18" s="44">
        <f>D61</f>
        <v>4</v>
      </c>
      <c r="W18" s="44">
        <f>P41</f>
        <v>2</v>
      </c>
      <c r="X18" s="44">
        <f>J61</f>
        <v>1</v>
      </c>
      <c r="Y18" s="43"/>
      <c r="Z18" s="44">
        <f>D101</f>
        <v>1</v>
      </c>
      <c r="AA18" s="45">
        <f t="shared" si="9"/>
        <v>9</v>
      </c>
      <c r="AB18" s="46"/>
      <c r="AC18" s="46"/>
      <c r="AD18" s="46">
        <f t="shared" si="10"/>
        <v>-9</v>
      </c>
      <c r="AE18" s="47" t="str">
        <f t="shared" si="11"/>
        <v>Frank</v>
      </c>
      <c r="AF18" s="38"/>
      <c r="AG18" s="42">
        <v>-17.0</v>
      </c>
      <c r="AH18" s="50" t="s">
        <v>60</v>
      </c>
      <c r="AI18" s="49"/>
    </row>
    <row r="19" ht="12.75" customHeight="1">
      <c r="S19" s="17"/>
      <c r="T19" s="42" t="str">
        <f t="shared" si="8"/>
        <v>Mittens</v>
      </c>
      <c r="U19" s="44">
        <f>E41</f>
        <v>5</v>
      </c>
      <c r="V19" s="44">
        <f>J81</f>
        <v>0</v>
      </c>
      <c r="W19" s="44">
        <f>K41</f>
        <v>3</v>
      </c>
      <c r="X19" s="44">
        <f>P101</f>
        <v>0</v>
      </c>
      <c r="Y19" s="44">
        <f>E101</f>
        <v>1</v>
      </c>
      <c r="Z19" s="43"/>
      <c r="AA19" s="45">
        <f t="shared" si="9"/>
        <v>9</v>
      </c>
      <c r="AB19" s="46"/>
      <c r="AC19" s="46"/>
      <c r="AD19" s="46">
        <f t="shared" si="10"/>
        <v>-9</v>
      </c>
      <c r="AE19" s="47" t="str">
        <f t="shared" si="11"/>
        <v>Mittens</v>
      </c>
      <c r="AF19" s="38"/>
      <c r="AG19" s="42">
        <v>-18.0</v>
      </c>
      <c r="AH19" s="50" t="s">
        <v>61</v>
      </c>
      <c r="AI19" s="49"/>
    </row>
    <row r="20" ht="12.75" customHeight="1">
      <c r="S20" s="17"/>
      <c r="T20" s="51" t="s">
        <v>28</v>
      </c>
      <c r="U20" s="37">
        <f t="shared" ref="U20:Z20" si="12">SUM(U14:U19)</f>
        <v>17</v>
      </c>
      <c r="V20" s="37">
        <f t="shared" si="12"/>
        <v>14</v>
      </c>
      <c r="W20" s="37">
        <f t="shared" si="12"/>
        <v>18</v>
      </c>
      <c r="X20" s="37">
        <f t="shared" si="12"/>
        <v>11</v>
      </c>
      <c r="Y20" s="37">
        <f t="shared" si="12"/>
        <v>9</v>
      </c>
      <c r="Z20" s="37">
        <f t="shared" si="12"/>
        <v>9</v>
      </c>
      <c r="AA20" s="38"/>
      <c r="AB20" s="38"/>
      <c r="AC20" s="38"/>
      <c r="AD20" s="38"/>
      <c r="AE20" s="38"/>
      <c r="AF20" s="38"/>
      <c r="AG20" s="38"/>
      <c r="AH20" s="38"/>
      <c r="AI20" s="49"/>
    </row>
    <row r="21" ht="12.75" customHeight="1">
      <c r="S21" s="1"/>
      <c r="T21" s="38"/>
      <c r="U21" s="37" t="str">
        <f t="shared" ref="U21:Z21" si="13">U13</f>
        <v>Berend</v>
      </c>
      <c r="V21" s="37" t="str">
        <f t="shared" si="13"/>
        <v>Judith</v>
      </c>
      <c r="W21" s="37" t="str">
        <f t="shared" si="13"/>
        <v>Tjeard</v>
      </c>
      <c r="X21" s="37" t="str">
        <f t="shared" si="13"/>
        <v>Daniel</v>
      </c>
      <c r="Y21" s="37" t="str">
        <f t="shared" si="13"/>
        <v>Frank</v>
      </c>
      <c r="Z21" s="37" t="str">
        <f t="shared" si="13"/>
        <v>Mittens</v>
      </c>
      <c r="AA21" s="38"/>
      <c r="AB21" s="38"/>
      <c r="AC21" s="38"/>
      <c r="AD21" s="38"/>
      <c r="AE21" s="38"/>
      <c r="AF21" s="38"/>
      <c r="AG21" s="38"/>
      <c r="AH21" s="38"/>
      <c r="AI21" s="49"/>
    </row>
    <row r="22" ht="12.75" customHeight="1">
      <c r="AD22" s="52">
        <v>50.0</v>
      </c>
    </row>
    <row r="23" ht="12.75" customHeight="1">
      <c r="A23" s="17"/>
      <c r="B23" s="18"/>
      <c r="C23" s="9"/>
      <c r="D23" s="53" t="s">
        <v>13</v>
      </c>
      <c r="E23" s="15"/>
      <c r="F23" s="12"/>
      <c r="H23" s="18"/>
      <c r="I23" s="9"/>
      <c r="J23" s="53" t="s">
        <v>13</v>
      </c>
      <c r="K23" s="15"/>
      <c r="L23" s="12"/>
      <c r="N23" s="18"/>
      <c r="O23" s="9"/>
      <c r="P23" s="53" t="s">
        <v>13</v>
      </c>
      <c r="Q23" s="15"/>
      <c r="R23" s="12"/>
      <c r="T23" s="55" t="s">
        <v>34</v>
      </c>
      <c r="U23" s="10" t="str">
        <f>T24</f>
        <v>Berend</v>
      </c>
      <c r="V23" s="11" t="str">
        <f>T25</f>
        <v>Judith</v>
      </c>
      <c r="W23" s="10" t="str">
        <f>T26</f>
        <v>Tjeard</v>
      </c>
      <c r="X23" s="11" t="str">
        <f>T27</f>
        <v>Daniel</v>
      </c>
      <c r="Y23" s="10" t="str">
        <f>T28</f>
        <v>Frank</v>
      </c>
      <c r="Z23" s="11" t="str">
        <f>T29</f>
        <v>Mittens</v>
      </c>
      <c r="AA23" s="12" t="s">
        <v>35</v>
      </c>
      <c r="AB23" s="11" t="s">
        <v>3</v>
      </c>
      <c r="AC23" s="11" t="s">
        <v>4</v>
      </c>
      <c r="AD23" s="11" t="s">
        <v>5</v>
      </c>
      <c r="AE23" s="13"/>
      <c r="AF23" s="13"/>
      <c r="AG23" s="14" t="s">
        <v>6</v>
      </c>
      <c r="AH23" s="15"/>
      <c r="AI23" s="56" t="s">
        <v>29</v>
      </c>
    </row>
    <row r="24" ht="12.75" customHeight="1">
      <c r="S24" s="72"/>
      <c r="T24" s="57" t="str">
        <f t="shared" ref="T24:T29" si="14">H8</f>
        <v>Berend</v>
      </c>
      <c r="U24" s="19"/>
      <c r="V24" s="20">
        <f>F121</f>
        <v>8</v>
      </c>
      <c r="W24" s="20">
        <f>L101</f>
        <v>6</v>
      </c>
      <c r="X24" s="20">
        <f>R61</f>
        <v>7</v>
      </c>
      <c r="Y24" s="20">
        <f>R121</f>
        <v>7</v>
      </c>
      <c r="Z24" s="20">
        <f>C41</f>
        <v>5</v>
      </c>
      <c r="AA24" s="21">
        <f t="shared" ref="AA24:AA29" si="15">SUMIF(U24:Z24, "&gt;0")</f>
        <v>33</v>
      </c>
      <c r="AB24" s="22">
        <f>U30</f>
        <v>57</v>
      </c>
      <c r="AC24" s="22">
        <f t="shared" ref="AC24:AC29" si="16">AA24</f>
        <v>33</v>
      </c>
      <c r="AD24" s="22">
        <f t="shared" ref="AD24:AD29" si="17">AB24-AC24</f>
        <v>24</v>
      </c>
      <c r="AE24" s="9" t="str">
        <f t="shared" ref="AE24:AE29" si="18">T24</f>
        <v>Berend</v>
      </c>
      <c r="AF24" s="13"/>
      <c r="AG24" s="9">
        <f t="array" ref="AG24:AH29">SORT(AD24:AE29, 1, FALSE)</f>
        <v>24</v>
      </c>
      <c r="AH24" s="25" t="s">
        <v>60</v>
      </c>
      <c r="AI24" s="8" t="s">
        <v>10</v>
      </c>
    </row>
    <row r="25" ht="12.75" customHeight="1">
      <c r="A25" s="17"/>
      <c r="B25" s="18" t="s">
        <v>0</v>
      </c>
      <c r="C25" s="58" t="str">
        <f>T19</f>
        <v>Mittens</v>
      </c>
      <c r="D25" s="15"/>
      <c r="E25" s="59" t="str">
        <f>T14</f>
        <v>Berend</v>
      </c>
      <c r="F25" s="15"/>
      <c r="H25" s="18" t="s">
        <v>20</v>
      </c>
      <c r="I25" s="58" t="str">
        <f>T19</f>
        <v>Mittens</v>
      </c>
      <c r="J25" s="15"/>
      <c r="K25" s="59" t="str">
        <f>T16</f>
        <v>Tjeard</v>
      </c>
      <c r="L25" s="15"/>
      <c r="N25" s="18" t="s">
        <v>27</v>
      </c>
      <c r="O25" s="58" t="str">
        <f>T16</f>
        <v>Tjeard</v>
      </c>
      <c r="P25" s="15"/>
      <c r="Q25" s="59" t="str">
        <f>T18</f>
        <v>Frank</v>
      </c>
      <c r="R25" s="15"/>
      <c r="T25" s="57" t="str">
        <f t="shared" si="14"/>
        <v>Judith</v>
      </c>
      <c r="U25" s="20">
        <f>C121</f>
        <v>14</v>
      </c>
      <c r="V25" s="27"/>
      <c r="W25" s="20">
        <f>R81</f>
        <v>11</v>
      </c>
      <c r="X25" s="20">
        <f>L121</f>
        <v>7</v>
      </c>
      <c r="Y25" s="20">
        <f>F61</f>
        <v>10</v>
      </c>
      <c r="Z25" s="20">
        <f>L81</f>
        <v>12</v>
      </c>
      <c r="AA25" s="21">
        <f t="shared" si="15"/>
        <v>54</v>
      </c>
      <c r="AB25" s="22">
        <f>V30</f>
        <v>42</v>
      </c>
      <c r="AC25" s="22">
        <f t="shared" si="16"/>
        <v>54</v>
      </c>
      <c r="AD25" s="22">
        <f t="shared" si="17"/>
        <v>-12</v>
      </c>
      <c r="AE25" s="9" t="str">
        <f t="shared" si="18"/>
        <v>Judith</v>
      </c>
      <c r="AF25" s="13"/>
      <c r="AG25" s="9">
        <v>22.0</v>
      </c>
      <c r="AH25" s="25" t="s">
        <v>62</v>
      </c>
      <c r="AI25" s="8" t="s">
        <v>10</v>
      </c>
    </row>
    <row r="26" ht="12.75" customHeight="1">
      <c r="A26" s="17"/>
      <c r="B26" s="18" t="s">
        <v>36</v>
      </c>
      <c r="C26" s="13" t="str">
        <f t="shared" ref="C26:C40" si="19">IF(AND(D26&gt;0,E26&gt;0), 0, D26)</f>
        <v/>
      </c>
      <c r="D26" s="60"/>
      <c r="E26" s="61">
        <v>2.0</v>
      </c>
      <c r="F26" s="62">
        <f t="shared" ref="F26:F40" si="20">IF(AND(D26&gt;0,E26&gt;0), 0, E26)</f>
        <v>2</v>
      </c>
      <c r="H26" s="18" t="s">
        <v>36</v>
      </c>
      <c r="I26" s="13">
        <f t="shared" ref="I26:I40" si="21">IF(AND(J26&gt;0,K26&gt;0), 0, J26)</f>
        <v>0</v>
      </c>
      <c r="J26" s="60">
        <v>2.0</v>
      </c>
      <c r="K26" s="61">
        <v>3.0</v>
      </c>
      <c r="L26" s="62">
        <f t="shared" ref="L26:L40" si="22">IF(AND(J26&gt;0,K26&gt;0), 0, K26)</f>
        <v>0</v>
      </c>
      <c r="N26" s="18" t="s">
        <v>36</v>
      </c>
      <c r="O26" s="13">
        <f t="shared" ref="O26:O40" si="23">IF(AND(P26&gt;0,Q26&gt;0), 0, P26)</f>
        <v>1</v>
      </c>
      <c r="P26" s="60">
        <v>1.0</v>
      </c>
      <c r="Q26" s="64"/>
      <c r="R26" s="62" t="str">
        <f t="shared" ref="R26:R40" si="24">IF(AND(P26&gt;0,Q26&gt;0), 0, Q26)</f>
        <v/>
      </c>
      <c r="T26" s="57" t="str">
        <f t="shared" si="14"/>
        <v>Tjeard</v>
      </c>
      <c r="U26" s="20">
        <f>I101</f>
        <v>5</v>
      </c>
      <c r="V26" s="20">
        <f>O81</f>
        <v>3</v>
      </c>
      <c r="W26" s="27"/>
      <c r="X26" s="20">
        <f>F81</f>
        <v>15</v>
      </c>
      <c r="Y26" s="20">
        <f>R41</f>
        <v>7</v>
      </c>
      <c r="Z26" s="20">
        <f>I41</f>
        <v>10</v>
      </c>
      <c r="AA26" s="21">
        <f t="shared" si="15"/>
        <v>40</v>
      </c>
      <c r="AB26" s="22">
        <f>W30</f>
        <v>49</v>
      </c>
      <c r="AC26" s="22">
        <f t="shared" si="16"/>
        <v>40</v>
      </c>
      <c r="AD26" s="22">
        <f t="shared" si="17"/>
        <v>9</v>
      </c>
      <c r="AE26" s="9" t="str">
        <f t="shared" si="18"/>
        <v>Tjeard</v>
      </c>
      <c r="AF26" s="13"/>
      <c r="AG26" s="9">
        <v>9.0</v>
      </c>
      <c r="AH26" s="9" t="s">
        <v>61</v>
      </c>
      <c r="AI26" s="8" t="s">
        <v>16</v>
      </c>
    </row>
    <row r="27" ht="12.75" customHeight="1">
      <c r="A27" s="17"/>
      <c r="B27" s="18" t="s">
        <v>37</v>
      </c>
      <c r="C27" s="13">
        <f t="shared" si="19"/>
        <v>0</v>
      </c>
      <c r="D27" s="60">
        <v>3.0</v>
      </c>
      <c r="E27" s="61">
        <v>2.0</v>
      </c>
      <c r="F27" s="62">
        <f t="shared" si="20"/>
        <v>0</v>
      </c>
      <c r="H27" s="18" t="s">
        <v>37</v>
      </c>
      <c r="I27" s="13">
        <f t="shared" si="21"/>
        <v>0</v>
      </c>
      <c r="J27" s="60">
        <v>3.0</v>
      </c>
      <c r="K27" s="61">
        <v>2.0</v>
      </c>
      <c r="L27" s="62">
        <f t="shared" si="22"/>
        <v>0</v>
      </c>
      <c r="N27" s="18" t="s">
        <v>37</v>
      </c>
      <c r="O27" s="13">
        <f t="shared" si="23"/>
        <v>0</v>
      </c>
      <c r="P27" s="60">
        <v>3.0</v>
      </c>
      <c r="Q27" s="61">
        <v>2.0</v>
      </c>
      <c r="R27" s="62">
        <f t="shared" si="24"/>
        <v>0</v>
      </c>
      <c r="T27" s="57" t="str">
        <f t="shared" si="14"/>
        <v>Daniel</v>
      </c>
      <c r="U27" s="20">
        <f>O61</f>
        <v>13</v>
      </c>
      <c r="V27" s="20">
        <f>I121</f>
        <v>10</v>
      </c>
      <c r="W27" s="20">
        <f>C81</f>
        <v>7</v>
      </c>
      <c r="X27" s="27"/>
      <c r="Y27" s="20">
        <f>L61</f>
        <v>9</v>
      </c>
      <c r="Z27" s="20">
        <f>R101</f>
        <v>16</v>
      </c>
      <c r="AA27" s="21">
        <f t="shared" si="15"/>
        <v>55</v>
      </c>
      <c r="AB27" s="22">
        <f>X30</f>
        <v>42</v>
      </c>
      <c r="AC27" s="22">
        <f t="shared" si="16"/>
        <v>55</v>
      </c>
      <c r="AD27" s="22">
        <f t="shared" si="17"/>
        <v>-13</v>
      </c>
      <c r="AE27" s="9" t="str">
        <f t="shared" si="18"/>
        <v>Daniel</v>
      </c>
      <c r="AF27" s="13"/>
      <c r="AG27" s="9">
        <v>-12.0</v>
      </c>
      <c r="AH27" s="30" t="s">
        <v>63</v>
      </c>
    </row>
    <row r="28" ht="12.75" customHeight="1">
      <c r="A28" s="17"/>
      <c r="B28" s="18" t="s">
        <v>38</v>
      </c>
      <c r="C28" s="13">
        <f t="shared" si="19"/>
        <v>0</v>
      </c>
      <c r="D28" s="60">
        <v>3.0</v>
      </c>
      <c r="E28" s="61">
        <v>2.0</v>
      </c>
      <c r="F28" s="62">
        <f t="shared" si="20"/>
        <v>0</v>
      </c>
      <c r="H28" s="18" t="s">
        <v>38</v>
      </c>
      <c r="I28" s="13" t="str">
        <f t="shared" si="21"/>
        <v/>
      </c>
      <c r="J28" s="65"/>
      <c r="K28" s="61">
        <v>3.0</v>
      </c>
      <c r="L28" s="62">
        <f t="shared" si="22"/>
        <v>3</v>
      </c>
      <c r="N28" s="18" t="s">
        <v>38</v>
      </c>
      <c r="O28" s="13" t="str">
        <f t="shared" si="23"/>
        <v/>
      </c>
      <c r="P28" s="60"/>
      <c r="Q28" s="61">
        <v>3.0</v>
      </c>
      <c r="R28" s="62">
        <f t="shared" si="24"/>
        <v>3</v>
      </c>
      <c r="T28" s="57" t="str">
        <f t="shared" si="14"/>
        <v>Frank</v>
      </c>
      <c r="U28" s="20">
        <f>O121</f>
        <v>16</v>
      </c>
      <c r="V28" s="20">
        <f>C61</f>
        <v>8</v>
      </c>
      <c r="W28" s="20">
        <f>O41</f>
        <v>14</v>
      </c>
      <c r="X28" s="20">
        <f>I61</f>
        <v>9</v>
      </c>
      <c r="Y28" s="27"/>
      <c r="Z28" s="20">
        <f>C101</f>
        <v>18</v>
      </c>
      <c r="AA28" s="21">
        <f t="shared" si="15"/>
        <v>65</v>
      </c>
      <c r="AB28" s="22">
        <f>Y30</f>
        <v>35</v>
      </c>
      <c r="AC28" s="22">
        <f t="shared" si="16"/>
        <v>65</v>
      </c>
      <c r="AD28" s="22">
        <f t="shared" si="17"/>
        <v>-30</v>
      </c>
      <c r="AE28" s="9" t="str">
        <f t="shared" si="18"/>
        <v>Frank</v>
      </c>
      <c r="AF28" s="13"/>
      <c r="AG28" s="9">
        <v>-13.0</v>
      </c>
      <c r="AH28" s="30" t="s">
        <v>65</v>
      </c>
    </row>
    <row r="29" ht="12.75" customHeight="1">
      <c r="A29" s="17"/>
      <c r="B29" s="18" t="s">
        <v>39</v>
      </c>
      <c r="C29" s="13">
        <f t="shared" si="19"/>
        <v>2</v>
      </c>
      <c r="D29" s="60">
        <v>2.0</v>
      </c>
      <c r="E29" s="64"/>
      <c r="F29" s="62" t="str">
        <f t="shared" si="20"/>
        <v/>
      </c>
      <c r="H29" s="18" t="s">
        <v>39</v>
      </c>
      <c r="I29" s="13" t="str">
        <f t="shared" si="21"/>
        <v/>
      </c>
      <c r="J29" s="65"/>
      <c r="K29" s="61">
        <v>3.0</v>
      </c>
      <c r="L29" s="62">
        <f t="shared" si="22"/>
        <v>3</v>
      </c>
      <c r="N29" s="18" t="s">
        <v>39</v>
      </c>
      <c r="O29" s="13" t="str">
        <f t="shared" si="23"/>
        <v/>
      </c>
      <c r="P29" s="65"/>
      <c r="Q29" s="61">
        <v>2.0</v>
      </c>
      <c r="R29" s="62">
        <f t="shared" si="24"/>
        <v>2</v>
      </c>
      <c r="T29" s="57" t="str">
        <f t="shared" si="14"/>
        <v>Mittens</v>
      </c>
      <c r="U29" s="20">
        <f>F41</f>
        <v>9</v>
      </c>
      <c r="V29" s="20">
        <f>I81</f>
        <v>13</v>
      </c>
      <c r="W29" s="20">
        <f>L41</f>
        <v>11</v>
      </c>
      <c r="X29" s="20">
        <f>O101</f>
        <v>4</v>
      </c>
      <c r="Y29" s="20">
        <f>F101</f>
        <v>2</v>
      </c>
      <c r="Z29" s="27"/>
      <c r="AA29" s="21">
        <f t="shared" si="15"/>
        <v>39</v>
      </c>
      <c r="AB29" s="22">
        <f>Z30</f>
        <v>61</v>
      </c>
      <c r="AC29" s="22">
        <f t="shared" si="16"/>
        <v>39</v>
      </c>
      <c r="AD29" s="22">
        <f t="shared" si="17"/>
        <v>22</v>
      </c>
      <c r="AE29" s="9" t="str">
        <f t="shared" si="18"/>
        <v>Mittens</v>
      </c>
      <c r="AF29" s="13"/>
      <c r="AG29" s="9">
        <v>-30.0</v>
      </c>
      <c r="AH29" s="30" t="s">
        <v>64</v>
      </c>
    </row>
    <row r="30" ht="12.75" customHeight="1">
      <c r="A30" s="17"/>
      <c r="B30" s="18" t="s">
        <v>40</v>
      </c>
      <c r="C30" s="13">
        <f t="shared" si="19"/>
        <v>0</v>
      </c>
      <c r="D30" s="60">
        <v>2.0</v>
      </c>
      <c r="E30" s="61">
        <v>2.0</v>
      </c>
      <c r="F30" s="62">
        <f t="shared" si="20"/>
        <v>0</v>
      </c>
      <c r="H30" s="18" t="s">
        <v>40</v>
      </c>
      <c r="I30" s="13">
        <f t="shared" si="21"/>
        <v>2</v>
      </c>
      <c r="J30" s="60">
        <v>2.0</v>
      </c>
      <c r="K30" s="64"/>
      <c r="L30" s="62" t="str">
        <f t="shared" si="22"/>
        <v/>
      </c>
      <c r="N30" s="18" t="s">
        <v>40</v>
      </c>
      <c r="O30" s="13" t="str">
        <f t="shared" si="23"/>
        <v/>
      </c>
      <c r="P30" s="66"/>
      <c r="Q30" s="67">
        <v>2.0</v>
      </c>
      <c r="R30" s="62">
        <f t="shared" si="24"/>
        <v>2</v>
      </c>
      <c r="T30" s="57" t="s">
        <v>41</v>
      </c>
      <c r="U30" s="11">
        <f t="shared" ref="U30:Z30" si="25">SUM(U24:U29)</f>
        <v>57</v>
      </c>
      <c r="V30" s="11">
        <f t="shared" si="25"/>
        <v>42</v>
      </c>
      <c r="W30" s="11">
        <f t="shared" si="25"/>
        <v>49</v>
      </c>
      <c r="X30" s="11">
        <f t="shared" si="25"/>
        <v>42</v>
      </c>
      <c r="Y30" s="11">
        <f t="shared" si="25"/>
        <v>35</v>
      </c>
      <c r="Z30" s="11">
        <f t="shared" si="25"/>
        <v>61</v>
      </c>
      <c r="AA30" s="33"/>
      <c r="AB30" s="13"/>
      <c r="AC30" s="13"/>
      <c r="AD30" s="13"/>
      <c r="AE30" s="13"/>
      <c r="AF30" s="13"/>
      <c r="AG30" s="13"/>
      <c r="AH30" s="13"/>
    </row>
    <row r="31" ht="12.75" customHeight="1">
      <c r="A31" s="17"/>
      <c r="B31" s="18" t="s">
        <v>42</v>
      </c>
      <c r="C31" s="13" t="str">
        <f t="shared" si="19"/>
        <v/>
      </c>
      <c r="D31" s="65"/>
      <c r="E31" s="61">
        <v>3.0</v>
      </c>
      <c r="F31" s="62">
        <f t="shared" si="20"/>
        <v>3</v>
      </c>
      <c r="H31" s="18" t="s">
        <v>42</v>
      </c>
      <c r="I31" s="13" t="str">
        <f t="shared" si="21"/>
        <v/>
      </c>
      <c r="J31" s="60"/>
      <c r="K31" s="61">
        <v>3.0</v>
      </c>
      <c r="L31" s="62">
        <f t="shared" si="22"/>
        <v>3</v>
      </c>
      <c r="N31" s="18" t="s">
        <v>42</v>
      </c>
      <c r="O31" s="13">
        <f t="shared" si="23"/>
        <v>0</v>
      </c>
      <c r="P31" s="68">
        <v>3.0</v>
      </c>
      <c r="Q31" s="67">
        <v>2.0</v>
      </c>
      <c r="R31" s="62">
        <f t="shared" si="24"/>
        <v>0</v>
      </c>
      <c r="T31" s="55"/>
      <c r="U31" s="11" t="str">
        <f t="shared" ref="U31:Z31" si="26">U23</f>
        <v>Berend</v>
      </c>
      <c r="V31" s="11" t="str">
        <f t="shared" si="26"/>
        <v>Judith</v>
      </c>
      <c r="W31" s="11" t="str">
        <f t="shared" si="26"/>
        <v>Tjeard</v>
      </c>
      <c r="X31" s="11" t="str">
        <f t="shared" si="26"/>
        <v>Daniel</v>
      </c>
      <c r="Y31" s="11" t="str">
        <f t="shared" si="26"/>
        <v>Frank</v>
      </c>
      <c r="Z31" s="11" t="str">
        <f t="shared" si="26"/>
        <v>Mittens</v>
      </c>
      <c r="AA31" s="33"/>
      <c r="AB31" s="13"/>
      <c r="AC31" s="13"/>
      <c r="AD31" s="13"/>
      <c r="AE31" s="13"/>
      <c r="AF31" s="13"/>
      <c r="AG31" s="13"/>
      <c r="AH31" s="13"/>
    </row>
    <row r="32" ht="12.75" customHeight="1">
      <c r="A32" s="17"/>
      <c r="B32" s="18" t="s">
        <v>43</v>
      </c>
      <c r="C32" s="13" t="str">
        <f t="shared" si="19"/>
        <v/>
      </c>
      <c r="D32" s="65"/>
      <c r="E32" s="61">
        <v>2.0</v>
      </c>
      <c r="F32" s="62">
        <f t="shared" si="20"/>
        <v>2</v>
      </c>
      <c r="H32" s="18" t="s">
        <v>43</v>
      </c>
      <c r="I32" s="13">
        <f t="shared" si="21"/>
        <v>3</v>
      </c>
      <c r="J32" s="60">
        <v>3.0</v>
      </c>
      <c r="K32" s="64"/>
      <c r="L32" s="62" t="str">
        <f t="shared" si="22"/>
        <v/>
      </c>
      <c r="N32" s="18" t="s">
        <v>43</v>
      </c>
      <c r="O32" s="13">
        <f t="shared" si="23"/>
        <v>2</v>
      </c>
      <c r="P32" s="68">
        <v>2.0</v>
      </c>
      <c r="Q32" s="69"/>
      <c r="R32" s="62" t="str">
        <f t="shared" si="24"/>
        <v/>
      </c>
      <c r="AA32" s="2"/>
    </row>
    <row r="33" ht="12.75" customHeight="1">
      <c r="A33" s="17"/>
      <c r="B33" s="18" t="s">
        <v>44</v>
      </c>
      <c r="C33" s="13" t="str">
        <f t="shared" si="19"/>
        <v/>
      </c>
      <c r="D33" s="65"/>
      <c r="E33" s="61">
        <v>2.0</v>
      </c>
      <c r="F33" s="62">
        <f t="shared" si="20"/>
        <v>2</v>
      </c>
      <c r="H33" s="18" t="s">
        <v>44</v>
      </c>
      <c r="I33" s="13">
        <f t="shared" si="21"/>
        <v>0</v>
      </c>
      <c r="J33" s="60">
        <v>3.0</v>
      </c>
      <c r="K33" s="61">
        <v>2.0</v>
      </c>
      <c r="L33" s="62">
        <f t="shared" si="22"/>
        <v>0</v>
      </c>
      <c r="N33" s="18" t="s">
        <v>44</v>
      </c>
      <c r="O33" s="13">
        <f t="shared" si="23"/>
        <v>3</v>
      </c>
      <c r="P33" s="68">
        <v>3.0</v>
      </c>
      <c r="Q33" s="69"/>
      <c r="R33" s="62" t="str">
        <f t="shared" si="24"/>
        <v/>
      </c>
      <c r="AA33" s="2"/>
    </row>
    <row r="34" ht="12.75" customHeight="1">
      <c r="A34" s="17"/>
      <c r="B34" s="18" t="s">
        <v>45</v>
      </c>
      <c r="C34" s="13">
        <f t="shared" si="19"/>
        <v>3</v>
      </c>
      <c r="D34" s="60">
        <v>3.0</v>
      </c>
      <c r="E34" s="64"/>
      <c r="F34" s="62" t="str">
        <f t="shared" si="20"/>
        <v/>
      </c>
      <c r="H34" s="18" t="s">
        <v>45</v>
      </c>
      <c r="I34" s="13">
        <f t="shared" si="21"/>
        <v>3</v>
      </c>
      <c r="J34" s="60">
        <v>3.0</v>
      </c>
      <c r="K34" s="64"/>
      <c r="L34" s="62" t="str">
        <f t="shared" si="22"/>
        <v/>
      </c>
      <c r="N34" s="18" t="s">
        <v>45</v>
      </c>
      <c r="O34" s="13">
        <f t="shared" si="23"/>
        <v>3</v>
      </c>
      <c r="P34" s="68">
        <v>3.0</v>
      </c>
      <c r="Q34" s="69"/>
      <c r="R34" s="62" t="str">
        <f t="shared" si="24"/>
        <v/>
      </c>
      <c r="AA34" s="2"/>
    </row>
    <row r="35" ht="12.75" customHeight="1">
      <c r="A35" s="17"/>
      <c r="B35" s="18" t="s">
        <v>46</v>
      </c>
      <c r="C35" s="13">
        <f t="shared" si="19"/>
        <v>0</v>
      </c>
      <c r="D35" s="60">
        <v>2.0</v>
      </c>
      <c r="E35" s="61">
        <v>3.0</v>
      </c>
      <c r="F35" s="62">
        <f t="shared" si="20"/>
        <v>0</v>
      </c>
      <c r="H35" s="18" t="s">
        <v>46</v>
      </c>
      <c r="I35" s="13" t="str">
        <f t="shared" si="21"/>
        <v/>
      </c>
      <c r="J35" s="65"/>
      <c r="K35" s="61">
        <v>2.0</v>
      </c>
      <c r="L35" s="62">
        <f t="shared" si="22"/>
        <v>2</v>
      </c>
      <c r="N35" s="18" t="s">
        <v>46</v>
      </c>
      <c r="O35" s="13">
        <f t="shared" si="23"/>
        <v>2</v>
      </c>
      <c r="P35" s="68">
        <v>2.0</v>
      </c>
      <c r="Q35" s="69"/>
      <c r="R35" s="62" t="str">
        <f t="shared" si="24"/>
        <v/>
      </c>
      <c r="AA35" s="2"/>
    </row>
    <row r="36" ht="12.75" customHeight="1">
      <c r="A36" s="17"/>
      <c r="B36" s="18" t="s">
        <v>47</v>
      </c>
      <c r="C36" s="13">
        <f t="shared" si="19"/>
        <v>0</v>
      </c>
      <c r="D36" s="60">
        <v>2.0</v>
      </c>
      <c r="E36" s="61">
        <v>2.0</v>
      </c>
      <c r="F36" s="62">
        <f t="shared" si="20"/>
        <v>0</v>
      </c>
      <c r="H36" s="18" t="s">
        <v>47</v>
      </c>
      <c r="I36" s="13">
        <f t="shared" si="21"/>
        <v>2</v>
      </c>
      <c r="J36" s="60">
        <v>2.0</v>
      </c>
      <c r="K36" s="64"/>
      <c r="L36" s="62" t="str">
        <f t="shared" si="22"/>
        <v/>
      </c>
      <c r="N36" s="18" t="s">
        <v>47</v>
      </c>
      <c r="O36" s="13">
        <f t="shared" si="23"/>
        <v>3</v>
      </c>
      <c r="P36" s="68">
        <v>3.0</v>
      </c>
      <c r="Q36" s="69"/>
      <c r="R36" s="62" t="str">
        <f t="shared" si="24"/>
        <v/>
      </c>
      <c r="AA36" s="2"/>
    </row>
    <row r="37" ht="12.75" customHeight="1">
      <c r="A37" s="17"/>
      <c r="B37" s="18" t="s">
        <v>48</v>
      </c>
      <c r="C37" s="13" t="str">
        <f t="shared" si="19"/>
        <v/>
      </c>
      <c r="D37" s="65"/>
      <c r="E37" s="64"/>
      <c r="F37" s="62" t="str">
        <f t="shared" si="20"/>
        <v/>
      </c>
      <c r="H37" s="18" t="s">
        <v>48</v>
      </c>
      <c r="I37" s="13" t="str">
        <f t="shared" si="21"/>
        <v/>
      </c>
      <c r="J37" s="65"/>
      <c r="K37" s="64"/>
      <c r="L37" s="62" t="str">
        <f t="shared" si="22"/>
        <v/>
      </c>
      <c r="N37" s="18" t="s">
        <v>48</v>
      </c>
      <c r="O37" s="13" t="str">
        <f t="shared" si="23"/>
        <v/>
      </c>
      <c r="P37" s="66"/>
      <c r="Q37" s="69"/>
      <c r="R37" s="62" t="str">
        <f t="shared" si="24"/>
        <v/>
      </c>
      <c r="AA37" s="2"/>
    </row>
    <row r="38" ht="12.75" customHeight="1">
      <c r="A38" s="17"/>
      <c r="B38" s="18" t="s">
        <v>49</v>
      </c>
      <c r="C38" s="13" t="str">
        <f t="shared" si="19"/>
        <v/>
      </c>
      <c r="D38" s="65"/>
      <c r="E38" s="64"/>
      <c r="F38" s="62" t="str">
        <f t="shared" si="20"/>
        <v/>
      </c>
      <c r="H38" s="18" t="s">
        <v>49</v>
      </c>
      <c r="I38" s="13" t="str">
        <f t="shared" si="21"/>
        <v/>
      </c>
      <c r="J38" s="65"/>
      <c r="K38" s="64"/>
      <c r="L38" s="62" t="str">
        <f t="shared" si="22"/>
        <v/>
      </c>
      <c r="N38" s="18" t="s">
        <v>49</v>
      </c>
      <c r="O38" s="13" t="str">
        <f t="shared" si="23"/>
        <v/>
      </c>
      <c r="P38" s="66"/>
      <c r="Q38" s="69"/>
      <c r="R38" s="62" t="str">
        <f t="shared" si="24"/>
        <v/>
      </c>
      <c r="AA38" s="2"/>
    </row>
    <row r="39" ht="12.75" customHeight="1">
      <c r="A39" s="17"/>
      <c r="B39" s="18" t="s">
        <v>50</v>
      </c>
      <c r="C39" s="13" t="str">
        <f t="shared" si="19"/>
        <v/>
      </c>
      <c r="D39" s="65"/>
      <c r="E39" s="64"/>
      <c r="F39" s="62" t="str">
        <f t="shared" si="20"/>
        <v/>
      </c>
      <c r="H39" s="18" t="s">
        <v>50</v>
      </c>
      <c r="I39" s="13" t="str">
        <f t="shared" si="21"/>
        <v/>
      </c>
      <c r="J39" s="65"/>
      <c r="K39" s="64"/>
      <c r="L39" s="62" t="str">
        <f t="shared" si="22"/>
        <v/>
      </c>
      <c r="N39" s="18" t="s">
        <v>50</v>
      </c>
      <c r="O39" s="13" t="str">
        <f t="shared" si="23"/>
        <v/>
      </c>
      <c r="P39" s="66"/>
      <c r="Q39" s="69"/>
      <c r="R39" s="62" t="str">
        <f t="shared" si="24"/>
        <v/>
      </c>
      <c r="AA39" s="2"/>
    </row>
    <row r="40" ht="12.75" customHeight="1">
      <c r="A40" s="17"/>
      <c r="B40" s="18" t="s">
        <v>51</v>
      </c>
      <c r="C40" s="13" t="str">
        <f t="shared" si="19"/>
        <v/>
      </c>
      <c r="D40" s="66"/>
      <c r="E40" s="69"/>
      <c r="F40" s="62" t="str">
        <f t="shared" si="20"/>
        <v/>
      </c>
      <c r="H40" s="18" t="s">
        <v>51</v>
      </c>
      <c r="I40" s="13" t="str">
        <f t="shared" si="21"/>
        <v/>
      </c>
      <c r="J40" s="66"/>
      <c r="K40" s="69"/>
      <c r="L40" s="62" t="str">
        <f t="shared" si="22"/>
        <v/>
      </c>
      <c r="N40" s="18" t="s">
        <v>51</v>
      </c>
      <c r="O40" s="13" t="str">
        <f t="shared" si="23"/>
        <v/>
      </c>
      <c r="P40" s="66"/>
      <c r="Q40" s="69"/>
      <c r="R40" s="62" t="str">
        <f t="shared" si="24"/>
        <v/>
      </c>
      <c r="AA40" s="2"/>
    </row>
    <row r="41" ht="12.75" customHeight="1">
      <c r="A41" s="17"/>
      <c r="B41" s="18" t="s">
        <v>52</v>
      </c>
      <c r="C41" s="33">
        <f>SUM(C26:C40)</f>
        <v>5</v>
      </c>
      <c r="D41" s="33">
        <f>COUNTIFS(D26:D40, "&lt;&gt;0", D26:D40, "&lt;&gt;", E26:E40, "&lt;&gt;0", E26:E40, "&lt;&gt;")</f>
        <v>5</v>
      </c>
      <c r="E41" s="33">
        <f>COUNTIFS(D26:D40, "&lt;&gt;0", D26:D40, "&lt;&gt;", E26:E40, "&lt;&gt;0", E26:E40, "&lt;&gt;")</f>
        <v>5</v>
      </c>
      <c r="F41" s="33">
        <f>SUM(F26:F40)</f>
        <v>9</v>
      </c>
      <c r="H41" s="18" t="s">
        <v>52</v>
      </c>
      <c r="I41" s="33">
        <f>SUM(I26:I40)</f>
        <v>10</v>
      </c>
      <c r="J41" s="33">
        <f>COUNTIFS(J26:J40, "&lt;&gt;0", J26:J40, "&lt;&gt;", K26:K40, "&lt;&gt;0", K26:K40, "&lt;&gt;")</f>
        <v>3</v>
      </c>
      <c r="K41" s="33">
        <f>COUNTIFS(J26:J40, "&lt;&gt;0", J26:J40, "&lt;&gt;", K26:K40, "&lt;&gt;0", K26:K40, "&lt;&gt;")</f>
        <v>3</v>
      </c>
      <c r="L41" s="33">
        <f>SUM(L26:L40)</f>
        <v>11</v>
      </c>
      <c r="N41" s="18" t="s">
        <v>52</v>
      </c>
      <c r="O41" s="33">
        <f>SUM(O26:O40)</f>
        <v>14</v>
      </c>
      <c r="P41" s="33">
        <f>COUNTIFS(P26:P40, "&lt;&gt;0", P26:P40, "&lt;&gt;", Q26:Q40, "&lt;&gt;0", Q26:Q40, "&lt;&gt;")</f>
        <v>2</v>
      </c>
      <c r="Q41" s="33">
        <f>COUNTIFS(P26:P40, "&lt;&gt;0", P26:P40, "&lt;&gt;", Q26:Q40, "&lt;&gt;0", Q26:Q40, "&lt;&gt;")</f>
        <v>2</v>
      </c>
      <c r="R41" s="33">
        <f>SUM(R26:R40)</f>
        <v>7</v>
      </c>
      <c r="AA41" s="2"/>
    </row>
    <row r="42" ht="12.75" customHeight="1">
      <c r="A42" s="17"/>
      <c r="B42" s="17" t="s">
        <v>53</v>
      </c>
      <c r="C42" s="70">
        <f>D42</f>
        <v>-1</v>
      </c>
      <c r="D42" s="71">
        <f>IF(C41&gt;F41, 1, (IF(C41=F41, 0, -1)))</f>
        <v>-1</v>
      </c>
      <c r="E42" s="33">
        <f>IF(F41&gt;C41, 1, (IF(F41=C41, 0, -1)))</f>
        <v>1</v>
      </c>
      <c r="F42" s="70">
        <f>E42</f>
        <v>1</v>
      </c>
      <c r="H42" s="17" t="s">
        <v>53</v>
      </c>
      <c r="I42" s="70">
        <f>J42</f>
        <v>-1</v>
      </c>
      <c r="J42" s="71">
        <f>IF(I41&gt;L41, 1, (IF(I41=L41, 0, -1)))</f>
        <v>-1</v>
      </c>
      <c r="K42" s="33">
        <f>IF(L41&gt;I41, 1, (IF(L41=I41, 0, -1)))</f>
        <v>1</v>
      </c>
      <c r="L42" s="70">
        <f>K42</f>
        <v>1</v>
      </c>
      <c r="N42" s="17" t="s">
        <v>53</v>
      </c>
      <c r="O42" s="70">
        <f>P42</f>
        <v>1</v>
      </c>
      <c r="P42" s="71">
        <f>IF(O41&gt;R41, 1, (IF(O41=R41, 0, -1)))</f>
        <v>1</v>
      </c>
      <c r="Q42" s="33">
        <f>IF(R41&gt;O41, 1, (IF(R41=O41, 0, -1)))</f>
        <v>-1</v>
      </c>
      <c r="R42" s="70">
        <f>Q42</f>
        <v>-1</v>
      </c>
      <c r="AA42" s="2"/>
    </row>
    <row r="43" ht="12.75" customHeight="1">
      <c r="A43" s="72"/>
      <c r="B43" s="72"/>
      <c r="H43" s="72"/>
      <c r="N43" s="72"/>
      <c r="AA43" s="2"/>
    </row>
    <row r="44" ht="12.75" customHeight="1">
      <c r="A44" s="72"/>
      <c r="B44" s="72"/>
      <c r="H44" s="72"/>
      <c r="N44" s="72"/>
      <c r="AA44" s="2"/>
    </row>
    <row r="45" ht="12.75" customHeight="1">
      <c r="A45" s="17"/>
      <c r="B45" s="18" t="s">
        <v>8</v>
      </c>
      <c r="C45" s="83" t="str">
        <f>T15</f>
        <v>Judith</v>
      </c>
      <c r="D45" s="15"/>
      <c r="E45" s="59" t="str">
        <f>T18</f>
        <v>Frank</v>
      </c>
      <c r="F45" s="15"/>
      <c r="H45" s="18" t="s">
        <v>21</v>
      </c>
      <c r="I45" s="58" t="str">
        <f>T17</f>
        <v>Daniel</v>
      </c>
      <c r="J45" s="15"/>
      <c r="K45" s="59" t="str">
        <f>T18</f>
        <v>Frank</v>
      </c>
      <c r="L45" s="15"/>
      <c r="N45" s="18" t="s">
        <v>30</v>
      </c>
      <c r="O45" s="58" t="str">
        <f>T14</f>
        <v>Berend</v>
      </c>
      <c r="P45" s="15"/>
      <c r="Q45" s="59" t="str">
        <f>T17</f>
        <v>Daniel</v>
      </c>
      <c r="R45" s="15"/>
      <c r="AA45" s="2"/>
    </row>
    <row r="46" ht="12.75" customHeight="1">
      <c r="A46" s="17"/>
      <c r="B46" s="18" t="s">
        <v>36</v>
      </c>
      <c r="C46" s="13" t="str">
        <f t="shared" ref="C46:C60" si="27">IF(AND(D46&gt;0,E46&gt;0), 0, D46)</f>
        <v/>
      </c>
      <c r="D46" s="60"/>
      <c r="E46" s="61">
        <v>2.0</v>
      </c>
      <c r="F46" s="62">
        <f t="shared" ref="F46:F60" si="28">IF(AND(D46&gt;0,E46&gt;0), 0, E46)</f>
        <v>2</v>
      </c>
      <c r="H46" s="18" t="s">
        <v>36</v>
      </c>
      <c r="I46" s="13" t="str">
        <f t="shared" ref="I46:I60" si="29">IF(AND(J46&gt;0,K46&gt;0), 0, J46)</f>
        <v/>
      </c>
      <c r="J46" s="65"/>
      <c r="K46" s="61">
        <v>2.0</v>
      </c>
      <c r="L46" s="62">
        <f t="shared" ref="L46:L60" si="30">IF(AND(J46&gt;0,K46&gt;0), 0, K46)</f>
        <v>2</v>
      </c>
      <c r="N46" s="18" t="s">
        <v>36</v>
      </c>
      <c r="O46" s="13" t="str">
        <f t="shared" ref="O46:O60" si="31">IF(AND(P46&gt;0,Q46&gt;0), 0, P46)</f>
        <v/>
      </c>
      <c r="P46" s="65"/>
      <c r="Q46" s="61">
        <v>2.0</v>
      </c>
      <c r="R46" s="62">
        <f t="shared" ref="R46:R60" si="32">IF(AND(P46&gt;0,Q46&gt;0), 0, Q46)</f>
        <v>2</v>
      </c>
      <c r="AA46" s="2"/>
    </row>
    <row r="47" ht="12.75" customHeight="1">
      <c r="A47" s="17"/>
      <c r="B47" s="18" t="s">
        <v>37</v>
      </c>
      <c r="C47" s="13">
        <f t="shared" si="27"/>
        <v>2</v>
      </c>
      <c r="D47" s="60">
        <v>2.0</v>
      </c>
      <c r="E47" s="64"/>
      <c r="F47" s="62" t="str">
        <f t="shared" si="28"/>
        <v/>
      </c>
      <c r="H47" s="18" t="s">
        <v>37</v>
      </c>
      <c r="I47" s="13">
        <f t="shared" si="29"/>
        <v>2</v>
      </c>
      <c r="J47" s="60">
        <v>2.0</v>
      </c>
      <c r="K47" s="64"/>
      <c r="L47" s="62" t="str">
        <f t="shared" si="30"/>
        <v/>
      </c>
      <c r="N47" s="18" t="s">
        <v>37</v>
      </c>
      <c r="O47" s="13">
        <f t="shared" si="31"/>
        <v>2</v>
      </c>
      <c r="P47" s="60">
        <v>2.0</v>
      </c>
      <c r="Q47" s="64"/>
      <c r="R47" s="62" t="str">
        <f t="shared" si="32"/>
        <v/>
      </c>
      <c r="AA47" s="2"/>
    </row>
    <row r="48" ht="12.75" customHeight="1">
      <c r="A48" s="17"/>
      <c r="B48" s="18" t="s">
        <v>38</v>
      </c>
      <c r="C48" s="13" t="str">
        <f t="shared" si="27"/>
        <v/>
      </c>
      <c r="D48" s="65"/>
      <c r="E48" s="61">
        <v>3.0</v>
      </c>
      <c r="F48" s="62">
        <f t="shared" si="28"/>
        <v>3</v>
      </c>
      <c r="H48" s="18" t="s">
        <v>38</v>
      </c>
      <c r="I48" s="13">
        <f t="shared" si="29"/>
        <v>0</v>
      </c>
      <c r="J48" s="60">
        <v>3.0</v>
      </c>
      <c r="K48" s="61">
        <v>2.0</v>
      </c>
      <c r="L48" s="62">
        <f t="shared" si="30"/>
        <v>0</v>
      </c>
      <c r="N48" s="18" t="s">
        <v>38</v>
      </c>
      <c r="O48" s="13">
        <f t="shared" si="31"/>
        <v>2</v>
      </c>
      <c r="P48" s="60">
        <v>2.0</v>
      </c>
      <c r="Q48" s="64"/>
      <c r="R48" s="62" t="str">
        <f t="shared" si="32"/>
        <v/>
      </c>
      <c r="AA48" s="2"/>
    </row>
    <row r="49" ht="12.75" customHeight="1">
      <c r="A49" s="17"/>
      <c r="B49" s="18" t="s">
        <v>39</v>
      </c>
      <c r="C49" s="13">
        <f t="shared" si="27"/>
        <v>3</v>
      </c>
      <c r="D49" s="60">
        <v>3.0</v>
      </c>
      <c r="E49" s="64"/>
      <c r="F49" s="62" t="str">
        <f t="shared" si="28"/>
        <v/>
      </c>
      <c r="H49" s="18" t="s">
        <v>39</v>
      </c>
      <c r="I49" s="13">
        <f t="shared" si="29"/>
        <v>2</v>
      </c>
      <c r="J49" s="60">
        <v>2.0</v>
      </c>
      <c r="K49" s="64"/>
      <c r="L49" s="62" t="str">
        <f t="shared" si="30"/>
        <v/>
      </c>
      <c r="N49" s="18" t="s">
        <v>39</v>
      </c>
      <c r="O49" s="13">
        <f t="shared" si="31"/>
        <v>2</v>
      </c>
      <c r="P49" s="60">
        <v>2.0</v>
      </c>
      <c r="Q49" s="64"/>
      <c r="R49" s="62" t="str">
        <f t="shared" si="32"/>
        <v/>
      </c>
      <c r="AA49" s="2"/>
    </row>
    <row r="50" ht="12.75" customHeight="1">
      <c r="A50" s="17"/>
      <c r="B50" s="18" t="s">
        <v>40</v>
      </c>
      <c r="C50" s="13">
        <f t="shared" si="27"/>
        <v>3</v>
      </c>
      <c r="D50" s="60">
        <v>3.0</v>
      </c>
      <c r="E50" s="64"/>
      <c r="F50" s="62" t="str">
        <f t="shared" si="28"/>
        <v/>
      </c>
      <c r="H50" s="18" t="s">
        <v>40</v>
      </c>
      <c r="I50" s="13" t="str">
        <f t="shared" si="29"/>
        <v/>
      </c>
      <c r="J50" s="65"/>
      <c r="K50" s="61">
        <v>2.0</v>
      </c>
      <c r="L50" s="62">
        <f t="shared" si="30"/>
        <v>2</v>
      </c>
      <c r="N50" s="18" t="s">
        <v>40</v>
      </c>
      <c r="O50" s="13">
        <f t="shared" si="31"/>
        <v>2</v>
      </c>
      <c r="P50" s="60">
        <v>2.0</v>
      </c>
      <c r="Q50" s="64"/>
      <c r="R50" s="62" t="str">
        <f t="shared" si="32"/>
        <v/>
      </c>
      <c r="AA50" s="2"/>
    </row>
    <row r="51" ht="12.75" customHeight="1">
      <c r="A51" s="17"/>
      <c r="B51" s="18" t="s">
        <v>42</v>
      </c>
      <c r="C51" s="13" t="str">
        <f t="shared" si="27"/>
        <v/>
      </c>
      <c r="D51" s="60"/>
      <c r="E51" s="61">
        <v>3.0</v>
      </c>
      <c r="F51" s="62">
        <f t="shared" si="28"/>
        <v>3</v>
      </c>
      <c r="H51" s="18" t="s">
        <v>42</v>
      </c>
      <c r="I51" s="13" t="str">
        <f t="shared" si="29"/>
        <v/>
      </c>
      <c r="J51" s="65"/>
      <c r="K51" s="61">
        <v>3.0</v>
      </c>
      <c r="L51" s="62">
        <f t="shared" si="30"/>
        <v>3</v>
      </c>
      <c r="N51" s="18" t="s">
        <v>42</v>
      </c>
      <c r="O51" s="13">
        <f t="shared" si="31"/>
        <v>0</v>
      </c>
      <c r="P51" s="60">
        <v>3.0</v>
      </c>
      <c r="Q51" s="61">
        <v>2.0</v>
      </c>
      <c r="R51" s="62">
        <f t="shared" si="32"/>
        <v>0</v>
      </c>
      <c r="AA51" s="2"/>
    </row>
    <row r="52" ht="12.75" customHeight="1">
      <c r="A52" s="17"/>
      <c r="B52" s="18" t="s">
        <v>43</v>
      </c>
      <c r="C52" s="13">
        <f t="shared" si="27"/>
        <v>0</v>
      </c>
      <c r="D52" s="60">
        <v>2.0</v>
      </c>
      <c r="E52" s="61">
        <v>2.0</v>
      </c>
      <c r="F52" s="62">
        <f t="shared" si="28"/>
        <v>0</v>
      </c>
      <c r="H52" s="18" t="s">
        <v>43</v>
      </c>
      <c r="I52" s="13" t="str">
        <f t="shared" si="29"/>
        <v/>
      </c>
      <c r="J52" s="65"/>
      <c r="K52" s="61">
        <v>2.0</v>
      </c>
      <c r="L52" s="62">
        <f t="shared" si="30"/>
        <v>2</v>
      </c>
      <c r="N52" s="18" t="s">
        <v>43</v>
      </c>
      <c r="O52" s="13" t="str">
        <f t="shared" si="31"/>
        <v/>
      </c>
      <c r="P52" s="65"/>
      <c r="Q52" s="61">
        <v>2.0</v>
      </c>
      <c r="R52" s="62">
        <f t="shared" si="32"/>
        <v>2</v>
      </c>
      <c r="AA52" s="2"/>
    </row>
    <row r="53" ht="12.75" customHeight="1">
      <c r="A53" s="17"/>
      <c r="B53" s="18" t="s">
        <v>44</v>
      </c>
      <c r="C53" s="13">
        <f t="shared" si="27"/>
        <v>0</v>
      </c>
      <c r="D53" s="60">
        <v>2.0</v>
      </c>
      <c r="E53" s="61">
        <v>2.0</v>
      </c>
      <c r="F53" s="62">
        <f t="shared" si="28"/>
        <v>0</v>
      </c>
      <c r="H53" s="18" t="s">
        <v>44</v>
      </c>
      <c r="I53" s="13">
        <f t="shared" si="29"/>
        <v>3</v>
      </c>
      <c r="J53" s="60">
        <v>3.0</v>
      </c>
      <c r="K53" s="64"/>
      <c r="L53" s="62" t="str">
        <f t="shared" si="30"/>
        <v/>
      </c>
      <c r="N53" s="18" t="s">
        <v>44</v>
      </c>
      <c r="O53" s="13" t="str">
        <f t="shared" si="31"/>
        <v/>
      </c>
      <c r="P53" s="65"/>
      <c r="Q53" s="61">
        <v>3.0</v>
      </c>
      <c r="R53" s="62">
        <f t="shared" si="32"/>
        <v>3</v>
      </c>
      <c r="AA53" s="2"/>
    </row>
    <row r="54" ht="12.75" customHeight="1">
      <c r="A54" s="17"/>
      <c r="B54" s="18" t="s">
        <v>45</v>
      </c>
      <c r="C54" s="13">
        <f t="shared" si="27"/>
        <v>0</v>
      </c>
      <c r="D54" s="60">
        <v>3.0</v>
      </c>
      <c r="E54" s="61">
        <v>3.0</v>
      </c>
      <c r="F54" s="62">
        <f t="shared" si="28"/>
        <v>0</v>
      </c>
      <c r="H54" s="18" t="s">
        <v>45</v>
      </c>
      <c r="I54" s="13">
        <f t="shared" si="29"/>
        <v>2</v>
      </c>
      <c r="J54" s="60">
        <v>2.0</v>
      </c>
      <c r="K54" s="64"/>
      <c r="L54" s="62" t="str">
        <f t="shared" si="30"/>
        <v/>
      </c>
      <c r="N54" s="18" t="s">
        <v>45</v>
      </c>
      <c r="O54" s="13">
        <f t="shared" si="31"/>
        <v>2</v>
      </c>
      <c r="P54" s="60">
        <v>2.0</v>
      </c>
      <c r="Q54" s="64"/>
      <c r="R54" s="62" t="str">
        <f t="shared" si="32"/>
        <v/>
      </c>
      <c r="AA54" s="2"/>
    </row>
    <row r="55" ht="12.75" customHeight="1">
      <c r="A55" s="17"/>
      <c r="B55" s="18" t="s">
        <v>46</v>
      </c>
      <c r="C55" s="13" t="str">
        <f t="shared" si="27"/>
        <v/>
      </c>
      <c r="D55" s="65"/>
      <c r="E55" s="61">
        <v>2.0</v>
      </c>
      <c r="F55" s="62">
        <f t="shared" si="28"/>
        <v>2</v>
      </c>
      <c r="H55" s="18" t="s">
        <v>46</v>
      </c>
      <c r="I55" s="13" t="str">
        <f t="shared" si="29"/>
        <v/>
      </c>
      <c r="J55" s="65"/>
      <c r="K55" s="64"/>
      <c r="L55" s="62" t="str">
        <f t="shared" si="30"/>
        <v/>
      </c>
      <c r="N55" s="18" t="s">
        <v>46</v>
      </c>
      <c r="O55" s="13">
        <f t="shared" si="31"/>
        <v>3</v>
      </c>
      <c r="P55" s="60">
        <v>3.0</v>
      </c>
      <c r="Q55" s="64"/>
      <c r="R55" s="62" t="str">
        <f t="shared" si="32"/>
        <v/>
      </c>
      <c r="AA55" s="2"/>
    </row>
    <row r="56" ht="12.75" customHeight="1">
      <c r="A56" s="17"/>
      <c r="B56" s="18" t="s">
        <v>47</v>
      </c>
      <c r="C56" s="13">
        <f t="shared" si="27"/>
        <v>0</v>
      </c>
      <c r="D56" s="60">
        <v>3.0</v>
      </c>
      <c r="E56" s="61">
        <v>2.0</v>
      </c>
      <c r="F56" s="62">
        <f t="shared" si="28"/>
        <v>0</v>
      </c>
      <c r="H56" s="18" t="s">
        <v>47</v>
      </c>
      <c r="I56" s="13" t="str">
        <f t="shared" si="29"/>
        <v/>
      </c>
      <c r="J56" s="65"/>
      <c r="K56" s="64"/>
      <c r="L56" s="62" t="str">
        <f t="shared" si="30"/>
        <v/>
      </c>
      <c r="N56" s="18" t="s">
        <v>47</v>
      </c>
      <c r="O56" s="13">
        <f t="shared" si="31"/>
        <v>0</v>
      </c>
      <c r="P56" s="60">
        <v>3.0</v>
      </c>
      <c r="Q56" s="61">
        <v>3.0</v>
      </c>
      <c r="R56" s="62">
        <f t="shared" si="32"/>
        <v>0</v>
      </c>
      <c r="AA56" s="2"/>
    </row>
    <row r="57" ht="12.75" customHeight="1">
      <c r="A57" s="17"/>
      <c r="B57" s="18" t="s">
        <v>48</v>
      </c>
      <c r="C57" s="13" t="str">
        <f t="shared" si="27"/>
        <v/>
      </c>
      <c r="D57" s="65"/>
      <c r="E57" s="64"/>
      <c r="F57" s="62" t="str">
        <f t="shared" si="28"/>
        <v/>
      </c>
      <c r="H57" s="18" t="s">
        <v>48</v>
      </c>
      <c r="I57" s="13" t="str">
        <f t="shared" si="29"/>
        <v/>
      </c>
      <c r="J57" s="65"/>
      <c r="K57" s="64"/>
      <c r="L57" s="62" t="str">
        <f t="shared" si="30"/>
        <v/>
      </c>
      <c r="N57" s="18" t="s">
        <v>48</v>
      </c>
      <c r="O57" s="13" t="str">
        <f t="shared" si="31"/>
        <v/>
      </c>
      <c r="P57" s="65"/>
      <c r="Q57" s="64"/>
      <c r="R57" s="62" t="str">
        <f t="shared" si="32"/>
        <v/>
      </c>
      <c r="AA57" s="2"/>
    </row>
    <row r="58" ht="12.75" customHeight="1">
      <c r="A58" s="17"/>
      <c r="B58" s="18" t="s">
        <v>49</v>
      </c>
      <c r="C58" s="13" t="str">
        <f t="shared" si="27"/>
        <v/>
      </c>
      <c r="D58" s="65"/>
      <c r="E58" s="64"/>
      <c r="F58" s="62" t="str">
        <f t="shared" si="28"/>
        <v/>
      </c>
      <c r="H58" s="18" t="s">
        <v>49</v>
      </c>
      <c r="I58" s="13" t="str">
        <f t="shared" si="29"/>
        <v/>
      </c>
      <c r="J58" s="65"/>
      <c r="K58" s="64"/>
      <c r="L58" s="62" t="str">
        <f t="shared" si="30"/>
        <v/>
      </c>
      <c r="N58" s="18" t="s">
        <v>49</v>
      </c>
      <c r="O58" s="13" t="str">
        <f t="shared" si="31"/>
        <v/>
      </c>
      <c r="P58" s="65"/>
      <c r="Q58" s="64"/>
      <c r="R58" s="62" t="str">
        <f t="shared" si="32"/>
        <v/>
      </c>
      <c r="AA58" s="2"/>
    </row>
    <row r="59" ht="12.75" customHeight="1">
      <c r="A59" s="17"/>
      <c r="B59" s="18" t="s">
        <v>50</v>
      </c>
      <c r="C59" s="13" t="str">
        <f t="shared" si="27"/>
        <v/>
      </c>
      <c r="D59" s="65"/>
      <c r="E59" s="64"/>
      <c r="F59" s="62" t="str">
        <f t="shared" si="28"/>
        <v/>
      </c>
      <c r="H59" s="18" t="s">
        <v>50</v>
      </c>
      <c r="I59" s="13" t="str">
        <f t="shared" si="29"/>
        <v/>
      </c>
      <c r="J59" s="65"/>
      <c r="K59" s="64"/>
      <c r="L59" s="62" t="str">
        <f t="shared" si="30"/>
        <v/>
      </c>
      <c r="N59" s="18" t="s">
        <v>50</v>
      </c>
      <c r="O59" s="13" t="str">
        <f t="shared" si="31"/>
        <v/>
      </c>
      <c r="P59" s="65"/>
      <c r="Q59" s="64"/>
      <c r="R59" s="62" t="str">
        <f t="shared" si="32"/>
        <v/>
      </c>
      <c r="AA59" s="2"/>
    </row>
    <row r="60" ht="12.75" customHeight="1">
      <c r="A60" s="17"/>
      <c r="B60" s="18" t="s">
        <v>51</v>
      </c>
      <c r="C60" s="13" t="str">
        <f t="shared" si="27"/>
        <v/>
      </c>
      <c r="D60" s="66"/>
      <c r="E60" s="69"/>
      <c r="F60" s="62" t="str">
        <f t="shared" si="28"/>
        <v/>
      </c>
      <c r="H60" s="18" t="s">
        <v>51</v>
      </c>
      <c r="I60" s="13" t="str">
        <f t="shared" si="29"/>
        <v/>
      </c>
      <c r="J60" s="66"/>
      <c r="K60" s="69"/>
      <c r="L60" s="62" t="str">
        <f t="shared" si="30"/>
        <v/>
      </c>
      <c r="N60" s="18" t="s">
        <v>51</v>
      </c>
      <c r="O60" s="13" t="str">
        <f t="shared" si="31"/>
        <v/>
      </c>
      <c r="P60" s="66"/>
      <c r="Q60" s="69"/>
      <c r="R60" s="62" t="str">
        <f t="shared" si="32"/>
        <v/>
      </c>
      <c r="AA60" s="2"/>
    </row>
    <row r="61" ht="12.75" customHeight="1">
      <c r="A61" s="17"/>
      <c r="B61" s="18" t="s">
        <v>52</v>
      </c>
      <c r="C61" s="33">
        <f>SUM(C46:C60)</f>
        <v>8</v>
      </c>
      <c r="D61" s="33">
        <f>COUNTIFS(D46:D60, "&lt;&gt;0", D46:D60, "&lt;&gt;", E46:E60, "&lt;&gt;0", E46:E60, "&lt;&gt;")</f>
        <v>4</v>
      </c>
      <c r="E61" s="33">
        <f>COUNTIFS(D46:D60, "&lt;&gt;0", D46:D60, "&lt;&gt;", E46:E60, "&lt;&gt;0", E46:E60, "&lt;&gt;")</f>
        <v>4</v>
      </c>
      <c r="F61" s="33">
        <f>SUM(F46:F60)</f>
        <v>10</v>
      </c>
      <c r="H61" s="18" t="s">
        <v>52</v>
      </c>
      <c r="I61" s="33">
        <f>SUM(I46:I60)</f>
        <v>9</v>
      </c>
      <c r="J61" s="33">
        <f>COUNTIFS(J46:J60, "&lt;&gt;0", J46:J60, "&lt;&gt;", K46:K60, "&lt;&gt;0", K46:K60, "&lt;&gt;")</f>
        <v>1</v>
      </c>
      <c r="K61" s="33">
        <f>COUNTIFS(J46:J60, "&lt;&gt;0", J46:J60, "&lt;&gt;", K46:K60, "&lt;&gt;0", K46:K60, "&lt;&gt;")</f>
        <v>1</v>
      </c>
      <c r="L61" s="33">
        <f>SUM(L46:L60)</f>
        <v>9</v>
      </c>
      <c r="N61" s="18" t="s">
        <v>52</v>
      </c>
      <c r="O61" s="33">
        <f>SUM(O46:O60)</f>
        <v>13</v>
      </c>
      <c r="P61" s="33">
        <f>COUNTIFS(P46:P60, "&lt;&gt;0", P46:P60, "&lt;&gt;", Q46:Q60, "&lt;&gt;0", Q46:Q60, "&lt;&gt;")</f>
        <v>2</v>
      </c>
      <c r="Q61" s="33">
        <f>COUNTIFS(P46:P60, "&lt;&gt;0", P46:P60, "&lt;&gt;", Q46:Q60, "&lt;&gt;0", Q46:Q60, "&lt;&gt;")</f>
        <v>2</v>
      </c>
      <c r="R61" s="33">
        <f>SUM(R46:R60)</f>
        <v>7</v>
      </c>
      <c r="AA61" s="2"/>
    </row>
    <row r="62" ht="12.75" customHeight="1">
      <c r="A62" s="17"/>
      <c r="B62" s="17" t="s">
        <v>53</v>
      </c>
      <c r="C62" s="70">
        <f>D62</f>
        <v>-1</v>
      </c>
      <c r="D62" s="71">
        <f>IF(C61&gt;F61, 1, (IF(C61=F61, 0, -1)))</f>
        <v>-1</v>
      </c>
      <c r="E62" s="33">
        <f>IF(F61&gt;C61, 1, (IF(F61=C61, 0, -1)))</f>
        <v>1</v>
      </c>
      <c r="F62" s="70">
        <f>E62</f>
        <v>1</v>
      </c>
      <c r="H62" s="17" t="s">
        <v>53</v>
      </c>
      <c r="I62" s="70">
        <f>J62</f>
        <v>0</v>
      </c>
      <c r="J62" s="71">
        <f>IF(I61&gt;L61, 1, (IF(I61=L61, 0, -1)))</f>
        <v>0</v>
      </c>
      <c r="K62" s="33">
        <f>IF(L61&gt;I61, 1, (IF(L61=I61, 0, -1)))</f>
        <v>0</v>
      </c>
      <c r="L62" s="70">
        <f>K62</f>
        <v>0</v>
      </c>
      <c r="N62" s="17" t="s">
        <v>53</v>
      </c>
      <c r="O62" s="70">
        <f>P62</f>
        <v>1</v>
      </c>
      <c r="P62" s="71">
        <f>IF(O61&gt;R61, 1, (IF(O61=R61, 0, -1)))</f>
        <v>1</v>
      </c>
      <c r="Q62" s="33">
        <f>IF(R61&gt;O61, 1, (IF(R61=O61, 0, -1)))</f>
        <v>-1</v>
      </c>
      <c r="R62" s="70">
        <f>Q62</f>
        <v>-1</v>
      </c>
      <c r="AA62" s="2"/>
    </row>
    <row r="63" ht="12.75" customHeight="1">
      <c r="A63" s="72"/>
      <c r="B63" s="72"/>
      <c r="N63" s="72"/>
      <c r="AA63" s="2"/>
    </row>
    <row r="64" ht="12.75" customHeight="1">
      <c r="A64" s="72"/>
      <c r="B64" s="72"/>
      <c r="N64" s="72"/>
      <c r="AA64" s="2"/>
    </row>
    <row r="65" ht="12.75" customHeight="1">
      <c r="A65" s="17"/>
      <c r="B65" s="18" t="s">
        <v>11</v>
      </c>
      <c r="C65" s="58" t="str">
        <f>T16</f>
        <v>Tjeard</v>
      </c>
      <c r="D65" s="15"/>
      <c r="E65" s="59" t="str">
        <f>T17</f>
        <v>Daniel</v>
      </c>
      <c r="F65" s="15"/>
      <c r="H65" s="18" t="s">
        <v>23</v>
      </c>
      <c r="I65" s="83" t="str">
        <f>T15</f>
        <v>Judith</v>
      </c>
      <c r="J65" s="15"/>
      <c r="K65" s="59" t="str">
        <f>T19</f>
        <v>Mittens</v>
      </c>
      <c r="L65" s="15"/>
      <c r="N65" s="18" t="s">
        <v>31</v>
      </c>
      <c r="O65" s="83" t="str">
        <f>T15</f>
        <v>Judith</v>
      </c>
      <c r="P65" s="15"/>
      <c r="Q65" s="59" t="str">
        <f>T16</f>
        <v>Tjeard</v>
      </c>
      <c r="R65" s="15"/>
      <c r="AA65" s="2"/>
    </row>
    <row r="66" ht="12.75" customHeight="1">
      <c r="A66" s="17"/>
      <c r="B66" s="18" t="s">
        <v>36</v>
      </c>
      <c r="C66" s="13">
        <f t="shared" ref="C66:C80" si="33">IF(AND(D66&gt;0,E66&gt;0), 0, D66)</f>
        <v>0</v>
      </c>
      <c r="D66" s="60">
        <v>3.0</v>
      </c>
      <c r="E66" s="61">
        <v>2.0</v>
      </c>
      <c r="F66" s="62">
        <f t="shared" ref="F66:F80" si="34">IF(AND(D66&gt;0,E66&gt;0), 0, E66)</f>
        <v>0</v>
      </c>
      <c r="H66" s="18" t="s">
        <v>36</v>
      </c>
      <c r="I66" s="13">
        <f t="shared" ref="I66:I80" si="35">IF(AND(J66&gt;0,K66&gt;0), 0, J66)</f>
        <v>3</v>
      </c>
      <c r="J66" s="60">
        <v>3.0</v>
      </c>
      <c r="K66" s="64"/>
      <c r="L66" s="62" t="str">
        <f t="shared" ref="L66:L80" si="36">IF(AND(J66&gt;0,K66&gt;0), 0, K66)</f>
        <v/>
      </c>
      <c r="N66" s="18" t="s">
        <v>36</v>
      </c>
      <c r="O66" s="13">
        <f t="shared" ref="O66:O80" si="37">IF(AND(P66&gt;0,Q66&gt;0), 0, P66)</f>
        <v>0</v>
      </c>
      <c r="P66" s="60">
        <v>3.0</v>
      </c>
      <c r="Q66" s="61">
        <v>3.0</v>
      </c>
      <c r="R66" s="62">
        <f t="shared" ref="R66:R80" si="38">IF(AND(P66&gt;0,Q66&gt;0), 0, Q66)</f>
        <v>0</v>
      </c>
      <c r="AA66" s="2"/>
    </row>
    <row r="67" ht="12.75" customHeight="1">
      <c r="A67" s="17"/>
      <c r="B67" s="18" t="s">
        <v>37</v>
      </c>
      <c r="C67" s="13" t="str">
        <f t="shared" si="33"/>
        <v/>
      </c>
      <c r="D67" s="60"/>
      <c r="E67" s="61">
        <v>2.0</v>
      </c>
      <c r="F67" s="62">
        <f t="shared" si="34"/>
        <v>2</v>
      </c>
      <c r="H67" s="18" t="s">
        <v>37</v>
      </c>
      <c r="I67" s="13" t="str">
        <f t="shared" si="35"/>
        <v/>
      </c>
      <c r="J67" s="65"/>
      <c r="K67" s="61">
        <v>3.0</v>
      </c>
      <c r="L67" s="62">
        <f t="shared" si="36"/>
        <v>3</v>
      </c>
      <c r="N67" s="18" t="s">
        <v>37</v>
      </c>
      <c r="O67" s="13" t="str">
        <f t="shared" si="37"/>
        <v/>
      </c>
      <c r="P67" s="65"/>
      <c r="Q67" s="61">
        <v>3.0</v>
      </c>
      <c r="R67" s="62">
        <f t="shared" si="38"/>
        <v>3</v>
      </c>
      <c r="AA67" s="2"/>
    </row>
    <row r="68" ht="12.75" customHeight="1">
      <c r="A68" s="17"/>
      <c r="B68" s="18" t="s">
        <v>38</v>
      </c>
      <c r="C68" s="13">
        <f t="shared" si="33"/>
        <v>0</v>
      </c>
      <c r="D68" s="60">
        <v>3.0</v>
      </c>
      <c r="E68" s="61">
        <v>2.0</v>
      </c>
      <c r="F68" s="62">
        <f t="shared" si="34"/>
        <v>0</v>
      </c>
      <c r="H68" s="18" t="s">
        <v>38</v>
      </c>
      <c r="I68" s="13">
        <f t="shared" si="35"/>
        <v>2</v>
      </c>
      <c r="J68" s="60">
        <v>2.0</v>
      </c>
      <c r="K68" s="64"/>
      <c r="L68" s="62" t="str">
        <f t="shared" si="36"/>
        <v/>
      </c>
      <c r="N68" s="18" t="s">
        <v>38</v>
      </c>
      <c r="O68" s="13" t="str">
        <f t="shared" si="37"/>
        <v/>
      </c>
      <c r="P68" s="65"/>
      <c r="Q68" s="61">
        <v>2.0</v>
      </c>
      <c r="R68" s="62">
        <f t="shared" si="38"/>
        <v>2</v>
      </c>
      <c r="AA68" s="2"/>
    </row>
    <row r="69" ht="12.75" customHeight="1">
      <c r="A69" s="17"/>
      <c r="B69" s="18" t="s">
        <v>39</v>
      </c>
      <c r="C69" s="13">
        <f t="shared" si="33"/>
        <v>2</v>
      </c>
      <c r="D69" s="60">
        <v>2.0</v>
      </c>
      <c r="E69" s="64"/>
      <c r="F69" s="62" t="str">
        <f t="shared" si="34"/>
        <v/>
      </c>
      <c r="H69" s="18" t="s">
        <v>39</v>
      </c>
      <c r="I69" s="13" t="str">
        <f t="shared" si="35"/>
        <v/>
      </c>
      <c r="J69" s="65"/>
      <c r="K69" s="61">
        <v>2.0</v>
      </c>
      <c r="L69" s="62">
        <f t="shared" si="36"/>
        <v>2</v>
      </c>
      <c r="N69" s="18" t="s">
        <v>39</v>
      </c>
      <c r="O69" s="13">
        <f t="shared" si="37"/>
        <v>0</v>
      </c>
      <c r="P69" s="60">
        <v>3.0</v>
      </c>
      <c r="Q69" s="61">
        <v>3.0</v>
      </c>
      <c r="R69" s="62">
        <f t="shared" si="38"/>
        <v>0</v>
      </c>
      <c r="AA69" s="2"/>
    </row>
    <row r="70" ht="12.75" customHeight="1">
      <c r="A70" s="17"/>
      <c r="B70" s="18" t="s">
        <v>40</v>
      </c>
      <c r="C70" s="13">
        <f t="shared" si="33"/>
        <v>2</v>
      </c>
      <c r="D70" s="68">
        <v>2.0</v>
      </c>
      <c r="E70" s="69"/>
      <c r="F70" s="62" t="str">
        <f t="shared" si="34"/>
        <v/>
      </c>
      <c r="H70" s="18" t="s">
        <v>40</v>
      </c>
      <c r="I70" s="13">
        <f t="shared" si="35"/>
        <v>2</v>
      </c>
      <c r="J70" s="60">
        <v>2.0</v>
      </c>
      <c r="K70" s="64"/>
      <c r="L70" s="62" t="str">
        <f t="shared" si="36"/>
        <v/>
      </c>
      <c r="N70" s="18" t="s">
        <v>40</v>
      </c>
      <c r="O70" s="13" t="str">
        <f t="shared" si="37"/>
        <v/>
      </c>
      <c r="P70" s="65"/>
      <c r="Q70" s="61">
        <v>2.0</v>
      </c>
      <c r="R70" s="62">
        <f t="shared" si="38"/>
        <v>2</v>
      </c>
      <c r="AA70" s="2"/>
    </row>
    <row r="71" ht="12.75" customHeight="1">
      <c r="A71" s="17"/>
      <c r="B71" s="18" t="s">
        <v>42</v>
      </c>
      <c r="C71" s="13" t="str">
        <f t="shared" si="33"/>
        <v/>
      </c>
      <c r="D71" s="66"/>
      <c r="E71" s="67">
        <v>3.0</v>
      </c>
      <c r="F71" s="62">
        <f t="shared" si="34"/>
        <v>3</v>
      </c>
      <c r="H71" s="18" t="s">
        <v>42</v>
      </c>
      <c r="I71" s="13" t="str">
        <f t="shared" si="35"/>
        <v/>
      </c>
      <c r="J71" s="65"/>
      <c r="K71" s="61">
        <v>3.0</v>
      </c>
      <c r="L71" s="62">
        <f t="shared" si="36"/>
        <v>3</v>
      </c>
      <c r="N71" s="18" t="s">
        <v>42</v>
      </c>
      <c r="O71" s="13" t="str">
        <f t="shared" si="37"/>
        <v/>
      </c>
      <c r="P71" s="65"/>
      <c r="Q71" s="61">
        <v>2.0</v>
      </c>
      <c r="R71" s="62">
        <f t="shared" si="38"/>
        <v>2</v>
      </c>
      <c r="AA71" s="2"/>
    </row>
    <row r="72" ht="12.75" customHeight="1">
      <c r="A72" s="17"/>
      <c r="B72" s="18" t="s">
        <v>43</v>
      </c>
      <c r="C72" s="13">
        <f t="shared" si="33"/>
        <v>3</v>
      </c>
      <c r="D72" s="68">
        <v>3.0</v>
      </c>
      <c r="E72" s="69"/>
      <c r="F72" s="62" t="str">
        <f t="shared" si="34"/>
        <v/>
      </c>
      <c r="H72" s="18" t="s">
        <v>43</v>
      </c>
      <c r="I72" s="13" t="str">
        <f t="shared" si="35"/>
        <v/>
      </c>
      <c r="J72" s="65"/>
      <c r="K72" s="61">
        <v>2.0</v>
      </c>
      <c r="L72" s="62">
        <f t="shared" si="36"/>
        <v>2</v>
      </c>
      <c r="N72" s="18" t="s">
        <v>43</v>
      </c>
      <c r="O72" s="13">
        <f t="shared" si="37"/>
        <v>3</v>
      </c>
      <c r="P72" s="60">
        <v>3.0</v>
      </c>
      <c r="Q72" s="64"/>
      <c r="R72" s="62" t="str">
        <f t="shared" si="38"/>
        <v/>
      </c>
      <c r="AA72" s="2"/>
    </row>
    <row r="73" ht="12.75" customHeight="1">
      <c r="A73" s="17"/>
      <c r="B73" s="18" t="s">
        <v>44</v>
      </c>
      <c r="C73" s="13">
        <f t="shared" si="33"/>
        <v>0</v>
      </c>
      <c r="D73" s="68">
        <v>3.0</v>
      </c>
      <c r="E73" s="67">
        <v>3.0</v>
      </c>
      <c r="F73" s="62">
        <f t="shared" si="34"/>
        <v>0</v>
      </c>
      <c r="H73" s="18" t="s">
        <v>44</v>
      </c>
      <c r="I73" s="13">
        <f t="shared" si="35"/>
        <v>3</v>
      </c>
      <c r="J73" s="60">
        <v>3.0</v>
      </c>
      <c r="K73" s="64"/>
      <c r="L73" s="62" t="str">
        <f t="shared" si="36"/>
        <v/>
      </c>
      <c r="N73" s="18" t="s">
        <v>44</v>
      </c>
      <c r="O73" s="13">
        <f t="shared" si="37"/>
        <v>0</v>
      </c>
      <c r="P73" s="60">
        <v>2.0</v>
      </c>
      <c r="Q73" s="61">
        <v>2.0</v>
      </c>
      <c r="R73" s="62">
        <f t="shared" si="38"/>
        <v>0</v>
      </c>
      <c r="AA73" s="2"/>
    </row>
    <row r="74" ht="12.75" customHeight="1">
      <c r="A74" s="17"/>
      <c r="B74" s="18" t="s">
        <v>45</v>
      </c>
      <c r="C74" s="13" t="str">
        <f t="shared" si="33"/>
        <v/>
      </c>
      <c r="D74" s="66"/>
      <c r="E74" s="67">
        <v>2.0</v>
      </c>
      <c r="F74" s="62">
        <f t="shared" si="34"/>
        <v>2</v>
      </c>
      <c r="H74" s="18" t="s">
        <v>45</v>
      </c>
      <c r="I74" s="13" t="str">
        <f t="shared" si="35"/>
        <v/>
      </c>
      <c r="J74" s="65"/>
      <c r="K74" s="61">
        <v>2.0</v>
      </c>
      <c r="L74" s="62">
        <f t="shared" si="36"/>
        <v>2</v>
      </c>
      <c r="N74" s="18" t="s">
        <v>45</v>
      </c>
      <c r="O74" s="13" t="str">
        <f t="shared" si="37"/>
        <v/>
      </c>
      <c r="P74" s="65"/>
      <c r="Q74" s="61">
        <v>2.0</v>
      </c>
      <c r="R74" s="62">
        <f t="shared" si="38"/>
        <v>2</v>
      </c>
      <c r="AA74" s="2"/>
    </row>
    <row r="75" ht="12.75" customHeight="1">
      <c r="A75" s="17"/>
      <c r="B75" s="18" t="s">
        <v>46</v>
      </c>
      <c r="C75" s="13" t="str">
        <f t="shared" si="33"/>
        <v/>
      </c>
      <c r="D75" s="66"/>
      <c r="E75" s="67">
        <v>3.0</v>
      </c>
      <c r="F75" s="62">
        <f t="shared" si="34"/>
        <v>3</v>
      </c>
      <c r="H75" s="18" t="s">
        <v>46</v>
      </c>
      <c r="I75" s="13">
        <f t="shared" si="35"/>
        <v>3</v>
      </c>
      <c r="J75" s="60">
        <v>3.0</v>
      </c>
      <c r="K75" s="64"/>
      <c r="L75" s="62" t="str">
        <f t="shared" si="36"/>
        <v/>
      </c>
      <c r="N75" s="18" t="s">
        <v>46</v>
      </c>
      <c r="O75" s="13" t="str">
        <f t="shared" si="37"/>
        <v/>
      </c>
      <c r="P75" s="65"/>
      <c r="Q75" s="64"/>
      <c r="R75" s="62" t="str">
        <f t="shared" si="38"/>
        <v/>
      </c>
      <c r="AA75" s="2"/>
    </row>
    <row r="76" ht="12.75" customHeight="1">
      <c r="A76" s="17"/>
      <c r="B76" s="18" t="s">
        <v>47</v>
      </c>
      <c r="C76" s="13" t="str">
        <f t="shared" si="33"/>
        <v/>
      </c>
      <c r="D76" s="66"/>
      <c r="E76" s="67">
        <v>2.0</v>
      </c>
      <c r="F76" s="62">
        <f t="shared" si="34"/>
        <v>2</v>
      </c>
      <c r="H76" s="18" t="s">
        <v>47</v>
      </c>
      <c r="I76" s="13" t="str">
        <f t="shared" si="35"/>
        <v/>
      </c>
      <c r="J76" s="65"/>
      <c r="K76" s="64"/>
      <c r="L76" s="62" t="str">
        <f t="shared" si="36"/>
        <v/>
      </c>
      <c r="N76" s="18" t="s">
        <v>47</v>
      </c>
      <c r="O76" s="13" t="str">
        <f t="shared" si="37"/>
        <v/>
      </c>
      <c r="P76" s="65"/>
      <c r="Q76" s="64"/>
      <c r="R76" s="62" t="str">
        <f t="shared" si="38"/>
        <v/>
      </c>
      <c r="AA76" s="2"/>
    </row>
    <row r="77" ht="12.75" customHeight="1">
      <c r="A77" s="17"/>
      <c r="B77" s="18" t="s">
        <v>48</v>
      </c>
      <c r="C77" s="13" t="str">
        <f t="shared" si="33"/>
        <v/>
      </c>
      <c r="D77" s="66"/>
      <c r="E77" s="67">
        <v>3.0</v>
      </c>
      <c r="F77" s="62">
        <f t="shared" si="34"/>
        <v>3</v>
      </c>
      <c r="H77" s="18" t="s">
        <v>48</v>
      </c>
      <c r="I77" s="13" t="str">
        <f t="shared" si="35"/>
        <v/>
      </c>
      <c r="J77" s="65"/>
      <c r="K77" s="64"/>
      <c r="L77" s="62" t="str">
        <f t="shared" si="36"/>
        <v/>
      </c>
      <c r="N77" s="18" t="s">
        <v>48</v>
      </c>
      <c r="O77" s="13" t="str">
        <f t="shared" si="37"/>
        <v/>
      </c>
      <c r="P77" s="65"/>
      <c r="Q77" s="64"/>
      <c r="R77" s="62" t="str">
        <f t="shared" si="38"/>
        <v/>
      </c>
      <c r="AA77" s="2"/>
    </row>
    <row r="78" ht="12.75" customHeight="1">
      <c r="A78" s="17"/>
      <c r="B78" s="18" t="s">
        <v>49</v>
      </c>
      <c r="C78" s="13" t="str">
        <f t="shared" si="33"/>
        <v/>
      </c>
      <c r="D78" s="66"/>
      <c r="E78" s="69"/>
      <c r="F78" s="62" t="str">
        <f t="shared" si="34"/>
        <v/>
      </c>
      <c r="H78" s="18" t="s">
        <v>49</v>
      </c>
      <c r="I78" s="13" t="str">
        <f t="shared" si="35"/>
        <v/>
      </c>
      <c r="J78" s="65"/>
      <c r="K78" s="64"/>
      <c r="L78" s="62" t="str">
        <f t="shared" si="36"/>
        <v/>
      </c>
      <c r="N78" s="18" t="s">
        <v>49</v>
      </c>
      <c r="O78" s="13" t="str">
        <f t="shared" si="37"/>
        <v/>
      </c>
      <c r="P78" s="65"/>
      <c r="Q78" s="64"/>
      <c r="R78" s="62" t="str">
        <f t="shared" si="38"/>
        <v/>
      </c>
      <c r="AA78" s="2"/>
    </row>
    <row r="79" ht="12.75" customHeight="1">
      <c r="A79" s="17"/>
      <c r="B79" s="18" t="s">
        <v>50</v>
      </c>
      <c r="C79" s="13" t="str">
        <f t="shared" si="33"/>
        <v/>
      </c>
      <c r="D79" s="66"/>
      <c r="E79" s="69"/>
      <c r="F79" s="62" t="str">
        <f t="shared" si="34"/>
        <v/>
      </c>
      <c r="H79" s="18" t="s">
        <v>50</v>
      </c>
      <c r="I79" s="13" t="str">
        <f t="shared" si="35"/>
        <v/>
      </c>
      <c r="J79" s="65"/>
      <c r="K79" s="64"/>
      <c r="L79" s="62" t="str">
        <f t="shared" si="36"/>
        <v/>
      </c>
      <c r="N79" s="18" t="s">
        <v>50</v>
      </c>
      <c r="O79" s="13" t="str">
        <f t="shared" si="37"/>
        <v/>
      </c>
      <c r="P79" s="65"/>
      <c r="Q79" s="64"/>
      <c r="R79" s="62" t="str">
        <f t="shared" si="38"/>
        <v/>
      </c>
      <c r="AA79" s="2"/>
    </row>
    <row r="80" ht="12.75" customHeight="1">
      <c r="A80" s="17"/>
      <c r="B80" s="18" t="s">
        <v>51</v>
      </c>
      <c r="C80" s="13" t="str">
        <f t="shared" si="33"/>
        <v/>
      </c>
      <c r="D80" s="66"/>
      <c r="E80" s="69"/>
      <c r="F80" s="62" t="str">
        <f t="shared" si="34"/>
        <v/>
      </c>
      <c r="H80" s="18" t="s">
        <v>51</v>
      </c>
      <c r="I80" s="13" t="str">
        <f t="shared" si="35"/>
        <v/>
      </c>
      <c r="J80" s="66"/>
      <c r="K80" s="69"/>
      <c r="L80" s="62" t="str">
        <f t="shared" si="36"/>
        <v/>
      </c>
      <c r="N80" s="18" t="s">
        <v>51</v>
      </c>
      <c r="O80" s="13" t="str">
        <f t="shared" si="37"/>
        <v/>
      </c>
      <c r="P80" s="66"/>
      <c r="Q80" s="67"/>
      <c r="R80" s="62" t="str">
        <f t="shared" si="38"/>
        <v/>
      </c>
      <c r="AA80" s="2"/>
    </row>
    <row r="81" ht="12.75" customHeight="1">
      <c r="A81" s="17"/>
      <c r="B81" s="18" t="s">
        <v>52</v>
      </c>
      <c r="C81" s="33">
        <f>SUM(C66:C80)</f>
        <v>7</v>
      </c>
      <c r="D81" s="33">
        <f>COUNTIFS(D66:D80, "&lt;&gt;0", D66:D80, "&lt;&gt;", E66:E80, "&lt;&gt;0", E66:E80, "&lt;&gt;")</f>
        <v>3</v>
      </c>
      <c r="E81" s="33">
        <f>COUNTIFS(D66:D80, "&lt;&gt;0", D66:D80, "&lt;&gt;", E66:E80, "&lt;&gt;0", E66:E80, "&lt;&gt;")</f>
        <v>3</v>
      </c>
      <c r="F81" s="33">
        <f>SUM(F66:F80)</f>
        <v>15</v>
      </c>
      <c r="H81" s="18" t="s">
        <v>52</v>
      </c>
      <c r="I81" s="33">
        <f>SUM(I66:I80)</f>
        <v>13</v>
      </c>
      <c r="J81" s="33">
        <f>COUNTIFS(J66:J80, "&lt;&gt;0", J66:J80, "&lt;&gt;", K66:K80, "&lt;&gt;0", K66:K80, "&lt;&gt;")</f>
        <v>0</v>
      </c>
      <c r="K81" s="33">
        <f>COUNTIFS(J66:J80, "&lt;&gt;0", J66:J80, "&lt;&gt;", K66:K80, "&lt;&gt;0", K66:K80, "&lt;&gt;")</f>
        <v>0</v>
      </c>
      <c r="L81" s="33">
        <f>SUM(L66:L80)</f>
        <v>12</v>
      </c>
      <c r="N81" s="18" t="s">
        <v>52</v>
      </c>
      <c r="O81" s="33">
        <f>SUM(O66:O80)</f>
        <v>3</v>
      </c>
      <c r="P81" s="33">
        <f>COUNTIFS(P66:P80, "&lt;&gt;0", P66:P80, "&lt;&gt;", Q66:Q80, "&lt;&gt;0", Q66:Q80, "&lt;&gt;")</f>
        <v>3</v>
      </c>
      <c r="Q81" s="33">
        <f>COUNTIFS(P66:P80, "&lt;&gt;0", P66:P80, "&lt;&gt;", Q66:Q80, "&lt;&gt;0", Q66:Q80, "&lt;&gt;")</f>
        <v>3</v>
      </c>
      <c r="R81" s="33">
        <f>SUM(R66:R80)</f>
        <v>11</v>
      </c>
      <c r="AA81" s="2"/>
    </row>
    <row r="82" ht="12.75" customHeight="1">
      <c r="A82" s="17"/>
      <c r="B82" s="17" t="s">
        <v>53</v>
      </c>
      <c r="C82" s="70">
        <f>D82</f>
        <v>-1</v>
      </c>
      <c r="D82" s="71">
        <f>IF(C81&gt;F81, 1, (IF(C81=F81, 0, -1)))</f>
        <v>-1</v>
      </c>
      <c r="E82" s="33">
        <f>IF(F81&gt;C81, 1, (IF(F81=C81, 0, -1)))</f>
        <v>1</v>
      </c>
      <c r="F82" s="70">
        <f>E82</f>
        <v>1</v>
      </c>
      <c r="H82" s="17" t="s">
        <v>53</v>
      </c>
      <c r="I82" s="70">
        <f>J82</f>
        <v>1</v>
      </c>
      <c r="J82" s="71">
        <f>IF(I81&gt;L81, 1, (IF(I81=L81, 0, -1)))</f>
        <v>1</v>
      </c>
      <c r="K82" s="33">
        <f>IF(L81&gt;I81, 1, (IF(L81=I81, 0, -1)))</f>
        <v>-1</v>
      </c>
      <c r="L82" s="70">
        <f>K82</f>
        <v>-1</v>
      </c>
      <c r="N82" s="17" t="s">
        <v>53</v>
      </c>
      <c r="O82" s="70">
        <f>P82</f>
        <v>-1</v>
      </c>
      <c r="P82" s="71">
        <f>IF(O81&gt;R81, 1, (IF(O81=R81, 0, -1)))</f>
        <v>-1</v>
      </c>
      <c r="Q82" s="33">
        <f>IF(R81&gt;O81, 1, (IF(R81=O81, 0, -1)))</f>
        <v>1</v>
      </c>
      <c r="R82" s="70">
        <f>Q82</f>
        <v>1</v>
      </c>
      <c r="AA82" s="2"/>
    </row>
    <row r="83" ht="12.75" customHeight="1">
      <c r="A83" s="72"/>
      <c r="B83" s="72"/>
      <c r="H83" s="72"/>
      <c r="N83" s="72"/>
      <c r="AA83" s="2"/>
    </row>
    <row r="84" ht="12.75" customHeight="1">
      <c r="A84" s="72"/>
      <c r="B84" s="72"/>
      <c r="H84" s="72"/>
      <c r="N84" s="72"/>
      <c r="AA84" s="2"/>
    </row>
    <row r="85" ht="12.75" customHeight="1">
      <c r="A85" s="17"/>
      <c r="B85" s="18" t="s">
        <v>14</v>
      </c>
      <c r="C85" s="58" t="str">
        <f>T19</f>
        <v>Mittens</v>
      </c>
      <c r="D85" s="15"/>
      <c r="E85" s="59" t="str">
        <f>T18</f>
        <v>Frank</v>
      </c>
      <c r="F85" s="15"/>
      <c r="H85" s="18" t="s">
        <v>25</v>
      </c>
      <c r="I85" s="58" t="str">
        <f>T14</f>
        <v>Berend</v>
      </c>
      <c r="J85" s="15"/>
      <c r="K85" s="59" t="str">
        <f>T16</f>
        <v>Tjeard</v>
      </c>
      <c r="L85" s="15"/>
      <c r="N85" s="18" t="s">
        <v>32</v>
      </c>
      <c r="O85" s="58" t="str">
        <f>T17</f>
        <v>Daniel</v>
      </c>
      <c r="P85" s="15"/>
      <c r="Q85" s="59" t="str">
        <f>T19</f>
        <v>Mittens</v>
      </c>
      <c r="R85" s="15"/>
      <c r="AA85" s="2"/>
    </row>
    <row r="86" ht="12.75" customHeight="1">
      <c r="A86" s="17"/>
      <c r="B86" s="18" t="s">
        <v>36</v>
      </c>
      <c r="C86" s="13">
        <f t="shared" ref="C86:C100" si="39">IF(AND(D86&gt;0,E86&gt;0), 0, D86)</f>
        <v>3</v>
      </c>
      <c r="D86" s="60">
        <v>3.0</v>
      </c>
      <c r="E86" s="61"/>
      <c r="F86" s="62" t="str">
        <f t="shared" ref="F86:F100" si="40">IF(AND(D86&gt;0,E86&gt;0), 0, E86)</f>
        <v/>
      </c>
      <c r="H86" s="18" t="s">
        <v>36</v>
      </c>
      <c r="I86" s="13" t="str">
        <f t="shared" ref="I86:I100" si="41">IF(AND(J86&gt;0,K86&gt;0), 0, J86)</f>
        <v/>
      </c>
      <c r="J86" s="65"/>
      <c r="K86" s="61">
        <v>3.0</v>
      </c>
      <c r="L86" s="62">
        <f t="shared" ref="L86:L100" si="42">IF(AND(J86&gt;0,K86&gt;0), 0, K86)</f>
        <v>3</v>
      </c>
      <c r="N86" s="18" t="s">
        <v>36</v>
      </c>
      <c r="O86" s="13" t="str">
        <f t="shared" ref="O86:O100" si="43">IF(AND(P86&gt;0,Q86&gt;0), 0, P86)</f>
        <v/>
      </c>
      <c r="P86" s="65"/>
      <c r="Q86" s="61">
        <v>3.0</v>
      </c>
      <c r="R86" s="62">
        <f t="shared" ref="R86:R100" si="44">IF(AND(P86&gt;0,Q86&gt;0), 0, Q86)</f>
        <v>3</v>
      </c>
      <c r="AA86" s="2"/>
    </row>
    <row r="87" ht="12.75" customHeight="1">
      <c r="A87" s="17"/>
      <c r="B87" s="18" t="s">
        <v>37</v>
      </c>
      <c r="C87" s="13">
        <f t="shared" si="39"/>
        <v>3</v>
      </c>
      <c r="D87" s="60">
        <v>3.0</v>
      </c>
      <c r="E87" s="61"/>
      <c r="F87" s="62" t="str">
        <f t="shared" si="40"/>
        <v/>
      </c>
      <c r="H87" s="18" t="s">
        <v>37</v>
      </c>
      <c r="I87" s="13">
        <f t="shared" si="41"/>
        <v>0</v>
      </c>
      <c r="J87" s="60">
        <v>2.0</v>
      </c>
      <c r="K87" s="61">
        <v>2.0</v>
      </c>
      <c r="L87" s="62">
        <f t="shared" si="42"/>
        <v>0</v>
      </c>
      <c r="N87" s="18" t="s">
        <v>37</v>
      </c>
      <c r="O87" s="13">
        <f t="shared" si="43"/>
        <v>2</v>
      </c>
      <c r="P87" s="60">
        <v>2.0</v>
      </c>
      <c r="Q87" s="64"/>
      <c r="R87" s="62" t="str">
        <f t="shared" si="44"/>
        <v/>
      </c>
      <c r="AA87" s="2"/>
    </row>
    <row r="88" ht="12.75" customHeight="1">
      <c r="A88" s="17"/>
      <c r="B88" s="18" t="s">
        <v>38</v>
      </c>
      <c r="C88" s="13">
        <f t="shared" si="39"/>
        <v>1</v>
      </c>
      <c r="D88" s="60">
        <v>1.0</v>
      </c>
      <c r="E88" s="64"/>
      <c r="F88" s="62" t="str">
        <f t="shared" si="40"/>
        <v/>
      </c>
      <c r="H88" s="18" t="s">
        <v>38</v>
      </c>
      <c r="I88" s="13">
        <f t="shared" si="41"/>
        <v>0</v>
      </c>
      <c r="J88" s="60">
        <v>2.0</v>
      </c>
      <c r="K88" s="61">
        <v>3.0</v>
      </c>
      <c r="L88" s="62">
        <f t="shared" si="42"/>
        <v>0</v>
      </c>
      <c r="N88" s="18" t="s">
        <v>38</v>
      </c>
      <c r="O88" s="13" t="str">
        <f t="shared" si="43"/>
        <v/>
      </c>
      <c r="P88" s="65"/>
      <c r="Q88" s="61">
        <v>3.0</v>
      </c>
      <c r="R88" s="62">
        <f t="shared" si="44"/>
        <v>3</v>
      </c>
      <c r="AA88" s="2"/>
    </row>
    <row r="89" ht="12.75" customHeight="1">
      <c r="A89" s="17"/>
      <c r="B89" s="18" t="s">
        <v>39</v>
      </c>
      <c r="C89" s="13" t="str">
        <f t="shared" si="39"/>
        <v/>
      </c>
      <c r="D89" s="65"/>
      <c r="E89" s="61">
        <v>2.0</v>
      </c>
      <c r="F89" s="62">
        <f t="shared" si="40"/>
        <v>2</v>
      </c>
      <c r="H89" s="18" t="s">
        <v>39</v>
      </c>
      <c r="I89" s="13">
        <f t="shared" si="41"/>
        <v>0</v>
      </c>
      <c r="J89" s="60">
        <v>2.0</v>
      </c>
      <c r="K89" s="61">
        <v>3.0</v>
      </c>
      <c r="L89" s="62">
        <f t="shared" si="42"/>
        <v>0</v>
      </c>
      <c r="N89" s="18" t="s">
        <v>39</v>
      </c>
      <c r="O89" s="13" t="str">
        <f t="shared" si="43"/>
        <v/>
      </c>
      <c r="P89" s="65"/>
      <c r="Q89" s="61">
        <v>2.0</v>
      </c>
      <c r="R89" s="62">
        <f t="shared" si="44"/>
        <v>2</v>
      </c>
      <c r="AA89" s="2"/>
    </row>
    <row r="90" ht="12.75" customHeight="1">
      <c r="A90" s="17"/>
      <c r="B90" s="18" t="s">
        <v>40</v>
      </c>
      <c r="C90" s="13">
        <f t="shared" si="39"/>
        <v>2</v>
      </c>
      <c r="D90" s="60">
        <v>2.0</v>
      </c>
      <c r="E90" s="64"/>
      <c r="F90" s="62" t="str">
        <f t="shared" si="40"/>
        <v/>
      </c>
      <c r="H90" s="18" t="s">
        <v>40</v>
      </c>
      <c r="I90" s="13">
        <f t="shared" si="41"/>
        <v>0</v>
      </c>
      <c r="J90" s="68">
        <v>2.0</v>
      </c>
      <c r="K90" s="67">
        <v>2.0</v>
      </c>
      <c r="L90" s="62">
        <f t="shared" si="42"/>
        <v>0</v>
      </c>
      <c r="N90" s="18" t="s">
        <v>40</v>
      </c>
      <c r="O90" s="13" t="str">
        <f t="shared" si="43"/>
        <v/>
      </c>
      <c r="P90" s="65"/>
      <c r="Q90" s="61">
        <v>2.0</v>
      </c>
      <c r="R90" s="62">
        <f t="shared" si="44"/>
        <v>2</v>
      </c>
      <c r="AA90" s="2"/>
    </row>
    <row r="91" ht="12.75" customHeight="1">
      <c r="A91" s="17"/>
      <c r="B91" s="18" t="s">
        <v>42</v>
      </c>
      <c r="C91" s="13">
        <f t="shared" si="39"/>
        <v>2</v>
      </c>
      <c r="D91" s="60">
        <v>2.0</v>
      </c>
      <c r="E91" s="64"/>
      <c r="F91" s="62" t="str">
        <f t="shared" si="40"/>
        <v/>
      </c>
      <c r="H91" s="18" t="s">
        <v>42</v>
      </c>
      <c r="I91" s="13">
        <f t="shared" si="41"/>
        <v>0</v>
      </c>
      <c r="J91" s="68">
        <v>2.0</v>
      </c>
      <c r="K91" s="67">
        <v>2.0</v>
      </c>
      <c r="L91" s="62">
        <f t="shared" si="42"/>
        <v>0</v>
      </c>
      <c r="N91" s="18" t="s">
        <v>42</v>
      </c>
      <c r="O91" s="13" t="str">
        <f t="shared" si="43"/>
        <v/>
      </c>
      <c r="P91" s="65"/>
      <c r="Q91" s="61">
        <v>2.0</v>
      </c>
      <c r="R91" s="62">
        <f t="shared" si="44"/>
        <v>2</v>
      </c>
      <c r="AA91" s="2"/>
    </row>
    <row r="92" ht="12.75" customHeight="1">
      <c r="A92" s="17"/>
      <c r="B92" s="18" t="s">
        <v>43</v>
      </c>
      <c r="C92" s="13">
        <f t="shared" si="39"/>
        <v>2</v>
      </c>
      <c r="D92" s="60">
        <v>2.0</v>
      </c>
      <c r="E92" s="64"/>
      <c r="F92" s="62" t="str">
        <f t="shared" si="40"/>
        <v/>
      </c>
      <c r="H92" s="18" t="s">
        <v>43</v>
      </c>
      <c r="I92" s="13">
        <f t="shared" si="41"/>
        <v>2</v>
      </c>
      <c r="J92" s="68">
        <v>2.0</v>
      </c>
      <c r="K92" s="69"/>
      <c r="L92" s="62" t="str">
        <f t="shared" si="42"/>
        <v/>
      </c>
      <c r="N92" s="18" t="s">
        <v>43</v>
      </c>
      <c r="O92" s="13">
        <f t="shared" si="43"/>
        <v>2</v>
      </c>
      <c r="P92" s="60">
        <v>2.0</v>
      </c>
      <c r="Q92" s="64"/>
      <c r="R92" s="62" t="str">
        <f t="shared" si="44"/>
        <v/>
      </c>
      <c r="AA92" s="2"/>
    </row>
    <row r="93" ht="12.75" customHeight="1">
      <c r="A93" s="17"/>
      <c r="B93" s="18" t="s">
        <v>44</v>
      </c>
      <c r="C93" s="13">
        <f t="shared" si="39"/>
        <v>3</v>
      </c>
      <c r="D93" s="60">
        <v>3.0</v>
      </c>
      <c r="E93" s="64"/>
      <c r="F93" s="62" t="str">
        <f t="shared" si="40"/>
        <v/>
      </c>
      <c r="H93" s="18" t="s">
        <v>44</v>
      </c>
      <c r="I93" s="13">
        <f t="shared" si="41"/>
        <v>3</v>
      </c>
      <c r="J93" s="68">
        <v>3.0</v>
      </c>
      <c r="K93" s="69"/>
      <c r="L93" s="62" t="str">
        <f t="shared" si="42"/>
        <v/>
      </c>
      <c r="N93" s="18" t="s">
        <v>44</v>
      </c>
      <c r="O93" s="13" t="str">
        <f t="shared" si="43"/>
        <v/>
      </c>
      <c r="P93" s="65"/>
      <c r="Q93" s="61">
        <v>2.0</v>
      </c>
      <c r="R93" s="62">
        <f t="shared" si="44"/>
        <v>2</v>
      </c>
      <c r="AA93" s="2"/>
    </row>
    <row r="94" ht="12.75" customHeight="1">
      <c r="A94" s="17"/>
      <c r="B94" s="18" t="s">
        <v>45</v>
      </c>
      <c r="C94" s="13">
        <f t="shared" si="39"/>
        <v>2</v>
      </c>
      <c r="D94" s="60">
        <v>2.0</v>
      </c>
      <c r="E94" s="64"/>
      <c r="F94" s="62" t="str">
        <f t="shared" si="40"/>
        <v/>
      </c>
      <c r="H94" s="18" t="s">
        <v>45</v>
      </c>
      <c r="I94" s="13">
        <f t="shared" si="41"/>
        <v>0</v>
      </c>
      <c r="J94" s="68">
        <v>3.0</v>
      </c>
      <c r="K94" s="67">
        <v>2.0</v>
      </c>
      <c r="L94" s="62">
        <f t="shared" si="42"/>
        <v>0</v>
      </c>
      <c r="N94" s="18" t="s">
        <v>45</v>
      </c>
      <c r="O94" s="13" t="str">
        <f t="shared" si="43"/>
        <v/>
      </c>
      <c r="P94" s="65"/>
      <c r="Q94" s="61">
        <v>2.0</v>
      </c>
      <c r="R94" s="62">
        <f t="shared" si="44"/>
        <v>2</v>
      </c>
      <c r="AA94" s="2"/>
    </row>
    <row r="95" ht="12.75" customHeight="1">
      <c r="A95" s="17"/>
      <c r="B95" s="18" t="s">
        <v>46</v>
      </c>
      <c r="C95" s="13">
        <f t="shared" si="39"/>
        <v>0</v>
      </c>
      <c r="D95" s="68">
        <v>3.0</v>
      </c>
      <c r="E95" s="67">
        <v>2.0</v>
      </c>
      <c r="F95" s="62">
        <f t="shared" si="40"/>
        <v>0</v>
      </c>
      <c r="H95" s="18" t="s">
        <v>46</v>
      </c>
      <c r="I95" s="13" t="str">
        <f t="shared" si="41"/>
        <v/>
      </c>
      <c r="J95" s="66"/>
      <c r="K95" s="67">
        <v>3.0</v>
      </c>
      <c r="L95" s="62">
        <f t="shared" si="42"/>
        <v>3</v>
      </c>
      <c r="N95" s="18" t="s">
        <v>46</v>
      </c>
      <c r="O95" s="13" t="str">
        <f t="shared" si="43"/>
        <v/>
      </c>
      <c r="P95" s="65"/>
      <c r="Q95" s="64"/>
      <c r="R95" s="62" t="str">
        <f t="shared" si="44"/>
        <v/>
      </c>
      <c r="AA95" s="2"/>
    </row>
    <row r="96" ht="12.75" customHeight="1">
      <c r="A96" s="17"/>
      <c r="B96" s="18" t="s">
        <v>47</v>
      </c>
      <c r="C96" s="13" t="str">
        <f t="shared" si="39"/>
        <v/>
      </c>
      <c r="D96" s="66"/>
      <c r="E96" s="69"/>
      <c r="F96" s="62" t="str">
        <f t="shared" si="40"/>
        <v/>
      </c>
      <c r="H96" s="18" t="s">
        <v>47</v>
      </c>
      <c r="I96" s="13">
        <f t="shared" si="41"/>
        <v>0</v>
      </c>
      <c r="J96" s="68">
        <v>3.0</v>
      </c>
      <c r="K96" s="67">
        <v>3.0</v>
      </c>
      <c r="L96" s="62">
        <f t="shared" si="42"/>
        <v>0</v>
      </c>
      <c r="N96" s="18" t="s">
        <v>47</v>
      </c>
      <c r="O96" s="13" t="str">
        <f t="shared" si="43"/>
        <v/>
      </c>
      <c r="P96" s="65"/>
      <c r="Q96" s="64"/>
      <c r="R96" s="62" t="str">
        <f t="shared" si="44"/>
        <v/>
      </c>
      <c r="AA96" s="2"/>
    </row>
    <row r="97" ht="12.75" customHeight="1">
      <c r="A97" s="17"/>
      <c r="B97" s="18" t="s">
        <v>48</v>
      </c>
      <c r="C97" s="13" t="str">
        <f t="shared" si="39"/>
        <v/>
      </c>
      <c r="D97" s="66"/>
      <c r="E97" s="69"/>
      <c r="F97" s="62" t="str">
        <f t="shared" si="40"/>
        <v/>
      </c>
      <c r="H97" s="18" t="s">
        <v>48</v>
      </c>
      <c r="I97" s="13" t="str">
        <f t="shared" si="41"/>
        <v/>
      </c>
      <c r="J97" s="66"/>
      <c r="K97" s="69"/>
      <c r="L97" s="62" t="str">
        <f t="shared" si="42"/>
        <v/>
      </c>
      <c r="N97" s="18" t="s">
        <v>48</v>
      </c>
      <c r="O97" s="13" t="str">
        <f t="shared" si="43"/>
        <v/>
      </c>
      <c r="P97" s="65"/>
      <c r="Q97" s="64"/>
      <c r="R97" s="62" t="str">
        <f t="shared" si="44"/>
        <v/>
      </c>
      <c r="AA97" s="2"/>
    </row>
    <row r="98" ht="12.75" customHeight="1">
      <c r="A98" s="17"/>
      <c r="B98" s="18" t="s">
        <v>49</v>
      </c>
      <c r="C98" s="13" t="str">
        <f t="shared" si="39"/>
        <v/>
      </c>
      <c r="D98" s="66"/>
      <c r="E98" s="69"/>
      <c r="F98" s="62" t="str">
        <f t="shared" si="40"/>
        <v/>
      </c>
      <c r="H98" s="18" t="s">
        <v>49</v>
      </c>
      <c r="I98" s="13" t="str">
        <f t="shared" si="41"/>
        <v/>
      </c>
      <c r="J98" s="66"/>
      <c r="K98" s="69"/>
      <c r="L98" s="62" t="str">
        <f t="shared" si="42"/>
        <v/>
      </c>
      <c r="N98" s="18" t="s">
        <v>49</v>
      </c>
      <c r="O98" s="13" t="str">
        <f t="shared" si="43"/>
        <v/>
      </c>
      <c r="P98" s="65"/>
      <c r="Q98" s="64"/>
      <c r="R98" s="62" t="str">
        <f t="shared" si="44"/>
        <v/>
      </c>
      <c r="AA98" s="2"/>
    </row>
    <row r="99" ht="12.75" customHeight="1">
      <c r="A99" s="17"/>
      <c r="B99" s="18" t="s">
        <v>50</v>
      </c>
      <c r="C99" s="13" t="str">
        <f t="shared" si="39"/>
        <v/>
      </c>
      <c r="D99" s="66"/>
      <c r="E99" s="69"/>
      <c r="F99" s="62" t="str">
        <f t="shared" si="40"/>
        <v/>
      </c>
      <c r="H99" s="18" t="s">
        <v>50</v>
      </c>
      <c r="I99" s="13" t="str">
        <f t="shared" si="41"/>
        <v/>
      </c>
      <c r="J99" s="66"/>
      <c r="K99" s="69"/>
      <c r="L99" s="62" t="str">
        <f t="shared" si="42"/>
        <v/>
      </c>
      <c r="N99" s="18" t="s">
        <v>50</v>
      </c>
      <c r="O99" s="13" t="str">
        <f t="shared" si="43"/>
        <v/>
      </c>
      <c r="P99" s="65"/>
      <c r="Q99" s="64"/>
      <c r="R99" s="62" t="str">
        <f t="shared" si="44"/>
        <v/>
      </c>
      <c r="AA99" s="2"/>
    </row>
    <row r="100" ht="12.75" customHeight="1">
      <c r="A100" s="17"/>
      <c r="B100" s="18" t="s">
        <v>51</v>
      </c>
      <c r="C100" s="13" t="str">
        <f t="shared" si="39"/>
        <v/>
      </c>
      <c r="D100" s="66"/>
      <c r="E100" s="69"/>
      <c r="F100" s="62" t="str">
        <f t="shared" si="40"/>
        <v/>
      </c>
      <c r="H100" s="18" t="s">
        <v>51</v>
      </c>
      <c r="I100" s="13" t="str">
        <f t="shared" si="41"/>
        <v/>
      </c>
      <c r="J100" s="66"/>
      <c r="K100" s="69"/>
      <c r="L100" s="62" t="str">
        <f t="shared" si="42"/>
        <v/>
      </c>
      <c r="N100" s="18" t="s">
        <v>51</v>
      </c>
      <c r="O100" s="13" t="str">
        <f t="shared" si="43"/>
        <v/>
      </c>
      <c r="P100" s="66"/>
      <c r="Q100" s="69"/>
      <c r="R100" s="62" t="str">
        <f t="shared" si="44"/>
        <v/>
      </c>
      <c r="AA100" s="2"/>
    </row>
    <row r="101" ht="12.75" customHeight="1">
      <c r="A101" s="17"/>
      <c r="B101" s="18" t="s">
        <v>52</v>
      </c>
      <c r="C101" s="33">
        <f>SUM(C86:C100)</f>
        <v>18</v>
      </c>
      <c r="D101" s="33">
        <f>COUNTIFS(D86:D100, "&lt;&gt;0", D86:D100, "&lt;&gt;", E86:E100, "&lt;&gt;0", E86:E100, "&lt;&gt;")</f>
        <v>1</v>
      </c>
      <c r="E101" s="33">
        <f>COUNTIFS(D86:D100, "&lt;&gt;0", D86:D100, "&lt;&gt;", E86:E100, "&lt;&gt;0", E86:E100, "&lt;&gt;")</f>
        <v>1</v>
      </c>
      <c r="F101" s="33">
        <f>SUM(F86:F100)</f>
        <v>2</v>
      </c>
      <c r="H101" s="18" t="s">
        <v>52</v>
      </c>
      <c r="I101" s="33">
        <f>SUM(I86:I100)</f>
        <v>5</v>
      </c>
      <c r="J101" s="33">
        <f>COUNTIFS(J86:J100, "&lt;&gt;0", J86:J100, "&lt;&gt;", K86:K100, "&lt;&gt;0", K86:K100, "&lt;&gt;")</f>
        <v>7</v>
      </c>
      <c r="K101" s="33">
        <f>COUNTIFS(J86:J100, "&lt;&gt;0", J86:J100, "&lt;&gt;", K86:K100, "&lt;&gt;0", K86:K100, "&lt;&gt;")</f>
        <v>7</v>
      </c>
      <c r="L101" s="33">
        <f>SUM(L86:L100)</f>
        <v>6</v>
      </c>
      <c r="N101" s="18" t="s">
        <v>52</v>
      </c>
      <c r="O101" s="33">
        <f>SUM(O86:O100)</f>
        <v>4</v>
      </c>
      <c r="P101" s="33">
        <f>COUNTIFS(P86:P100, "&lt;&gt;0", P86:P100, "&lt;&gt;", Q86:Q100, "&lt;&gt;0", Q86:Q100, "&lt;&gt;")</f>
        <v>0</v>
      </c>
      <c r="Q101" s="33">
        <f>COUNTIFS(P86:P100, "&lt;&gt;0", P86:P100, "&lt;&gt;", Q86:Q100, "&lt;&gt;0", Q86:Q100, "&lt;&gt;")</f>
        <v>0</v>
      </c>
      <c r="R101" s="33">
        <f>SUM(R86:R100)</f>
        <v>16</v>
      </c>
      <c r="AA101" s="2"/>
    </row>
    <row r="102" ht="12.75" customHeight="1">
      <c r="A102" s="17"/>
      <c r="B102" s="17" t="s">
        <v>53</v>
      </c>
      <c r="C102" s="70">
        <f>D102</f>
        <v>1</v>
      </c>
      <c r="D102" s="71">
        <f>IF(C101&gt;F101, 1, (IF(C101=F101, 0, -1)))</f>
        <v>1</v>
      </c>
      <c r="E102" s="33">
        <f>IF(F101&gt;C101, 1, (IF(F101=C101, 0, -1)))</f>
        <v>-1</v>
      </c>
      <c r="F102" s="70">
        <f>E102</f>
        <v>-1</v>
      </c>
      <c r="H102" s="17" t="s">
        <v>53</v>
      </c>
      <c r="I102" s="70">
        <f>J102</f>
        <v>-1</v>
      </c>
      <c r="J102" s="71">
        <f>IF(I101&gt;L101, 1, (IF(I101=L101, 0, -1)))</f>
        <v>-1</v>
      </c>
      <c r="K102" s="33">
        <f>IF(L101&gt;I101, 1, (IF(L101=I101, 0, -1)))</f>
        <v>1</v>
      </c>
      <c r="L102" s="70">
        <f>K102</f>
        <v>1</v>
      </c>
      <c r="N102" s="17" t="s">
        <v>53</v>
      </c>
      <c r="O102" s="70">
        <f>P102</f>
        <v>-1</v>
      </c>
      <c r="P102" s="71">
        <f>IF(O101&gt;R101, 1, (IF(O101=R101, 0, -1)))</f>
        <v>-1</v>
      </c>
      <c r="Q102" s="33">
        <f>IF(R101&gt;O101, 1, (IF(R101=O101, 0, -1)))</f>
        <v>1</v>
      </c>
      <c r="R102" s="70">
        <f>Q102</f>
        <v>1</v>
      </c>
      <c r="AA102" s="2"/>
    </row>
    <row r="103" ht="12.75" customHeight="1">
      <c r="A103" s="72"/>
      <c r="B103" s="72"/>
      <c r="H103" s="72"/>
      <c r="N103" s="72"/>
      <c r="AA103" s="2"/>
    </row>
    <row r="104" ht="12.75" customHeight="1">
      <c r="A104" s="72"/>
      <c r="B104" s="72"/>
      <c r="H104" s="72"/>
      <c r="N104" s="72"/>
      <c r="AA104" s="2"/>
    </row>
    <row r="105" ht="12.75" customHeight="1">
      <c r="A105" s="17"/>
      <c r="B105" s="18" t="s">
        <v>17</v>
      </c>
      <c r="C105" s="58" t="str">
        <f>T14</f>
        <v>Berend</v>
      </c>
      <c r="D105" s="15"/>
      <c r="E105" s="59" t="str">
        <f>T15</f>
        <v>Judith</v>
      </c>
      <c r="F105" s="15"/>
      <c r="H105" s="18" t="s">
        <v>26</v>
      </c>
      <c r="I105" s="83" t="str">
        <f>T15</f>
        <v>Judith</v>
      </c>
      <c r="J105" s="15"/>
      <c r="K105" s="59" t="str">
        <f>T17</f>
        <v>Daniel</v>
      </c>
      <c r="L105" s="15"/>
      <c r="N105" s="18" t="s">
        <v>33</v>
      </c>
      <c r="O105" s="58" t="str">
        <f>T14</f>
        <v>Berend</v>
      </c>
      <c r="P105" s="15"/>
      <c r="Q105" s="59" t="str">
        <f>T18</f>
        <v>Frank</v>
      </c>
      <c r="R105" s="15"/>
      <c r="AA105" s="2"/>
    </row>
    <row r="106" ht="12.75" customHeight="1">
      <c r="A106" s="17"/>
      <c r="B106" s="18" t="s">
        <v>36</v>
      </c>
      <c r="C106" s="13" t="str">
        <f t="shared" ref="C106:C120" si="45">IF(AND(D106&gt;0,E106&gt;0), 0, D106)</f>
        <v/>
      </c>
      <c r="D106" s="65"/>
      <c r="E106" s="61">
        <v>3.0</v>
      </c>
      <c r="F106" s="62">
        <f t="shared" ref="F106:F120" si="46">IF(AND(D106&gt;0,E106&gt;0), 0, E106)</f>
        <v>3</v>
      </c>
      <c r="H106" s="18" t="s">
        <v>36</v>
      </c>
      <c r="I106" s="13">
        <f t="shared" ref="I106:I120" si="47">IF(AND(J106&gt;0,K106&gt;0), 0, J106)</f>
        <v>0</v>
      </c>
      <c r="J106" s="60">
        <v>3.0</v>
      </c>
      <c r="K106" s="61">
        <v>3.0</v>
      </c>
      <c r="L106" s="62">
        <f t="shared" ref="L106:L120" si="48">IF(AND(J106&gt;0,K106&gt;0), 0, K106)</f>
        <v>0</v>
      </c>
      <c r="N106" s="18" t="s">
        <v>36</v>
      </c>
      <c r="O106" s="13">
        <f t="shared" ref="O106:O120" si="49">IF(AND(P106&gt;0,Q106&gt;0), 0, P106)</f>
        <v>0</v>
      </c>
      <c r="P106" s="60">
        <v>2.0</v>
      </c>
      <c r="Q106" s="61">
        <v>2.0</v>
      </c>
      <c r="R106" s="62">
        <f t="shared" ref="R106:R120" si="50">IF(AND(P106&gt;0,Q106&gt;0), 0, Q106)</f>
        <v>0</v>
      </c>
      <c r="AA106" s="2"/>
    </row>
    <row r="107" ht="12.75" customHeight="1">
      <c r="A107" s="17"/>
      <c r="B107" s="18" t="s">
        <v>37</v>
      </c>
      <c r="C107" s="13">
        <f t="shared" si="45"/>
        <v>3</v>
      </c>
      <c r="D107" s="60">
        <v>3.0</v>
      </c>
      <c r="E107" s="64"/>
      <c r="F107" s="62" t="str">
        <f t="shared" si="46"/>
        <v/>
      </c>
      <c r="H107" s="18" t="s">
        <v>37</v>
      </c>
      <c r="I107" s="13">
        <f t="shared" si="47"/>
        <v>0</v>
      </c>
      <c r="J107" s="60">
        <v>2.0</v>
      </c>
      <c r="K107" s="61">
        <v>3.0</v>
      </c>
      <c r="L107" s="62">
        <f t="shared" si="48"/>
        <v>0</v>
      </c>
      <c r="N107" s="18" t="s">
        <v>37</v>
      </c>
      <c r="O107" s="13" t="str">
        <f t="shared" si="49"/>
        <v/>
      </c>
      <c r="P107" s="65"/>
      <c r="Q107" s="61">
        <v>2.0</v>
      </c>
      <c r="R107" s="62">
        <f t="shared" si="50"/>
        <v>2</v>
      </c>
      <c r="AA107" s="2"/>
    </row>
    <row r="108" ht="12.75" customHeight="1">
      <c r="A108" s="17"/>
      <c r="B108" s="18" t="s">
        <v>38</v>
      </c>
      <c r="C108" s="13">
        <f t="shared" si="45"/>
        <v>0</v>
      </c>
      <c r="D108" s="60">
        <v>2.0</v>
      </c>
      <c r="E108" s="61">
        <v>2.0</v>
      </c>
      <c r="F108" s="62">
        <f t="shared" si="46"/>
        <v>0</v>
      </c>
      <c r="H108" s="18" t="s">
        <v>38</v>
      </c>
      <c r="I108" s="13">
        <f t="shared" si="47"/>
        <v>2</v>
      </c>
      <c r="J108" s="60">
        <v>2.0</v>
      </c>
      <c r="K108" s="64"/>
      <c r="L108" s="62" t="str">
        <f t="shared" si="48"/>
        <v/>
      </c>
      <c r="N108" s="18" t="s">
        <v>38</v>
      </c>
      <c r="O108" s="13">
        <f t="shared" si="49"/>
        <v>3</v>
      </c>
      <c r="P108" s="60">
        <v>3.0</v>
      </c>
      <c r="Q108" s="64"/>
      <c r="R108" s="62" t="str">
        <f t="shared" si="50"/>
        <v/>
      </c>
      <c r="AA108" s="2"/>
    </row>
    <row r="109" ht="12.75" customHeight="1">
      <c r="A109" s="17"/>
      <c r="B109" s="18" t="s">
        <v>39</v>
      </c>
      <c r="C109" s="13" t="str">
        <f t="shared" si="45"/>
        <v/>
      </c>
      <c r="D109" s="65"/>
      <c r="E109" s="61">
        <v>2.0</v>
      </c>
      <c r="F109" s="62">
        <f t="shared" si="46"/>
        <v>2</v>
      </c>
      <c r="H109" s="18" t="s">
        <v>39</v>
      </c>
      <c r="I109" s="13">
        <f t="shared" si="47"/>
        <v>3</v>
      </c>
      <c r="J109" s="60">
        <v>3.0</v>
      </c>
      <c r="K109" s="64"/>
      <c r="L109" s="62" t="str">
        <f t="shared" si="48"/>
        <v/>
      </c>
      <c r="N109" s="18" t="s">
        <v>39</v>
      </c>
      <c r="O109" s="13">
        <f t="shared" si="49"/>
        <v>2</v>
      </c>
      <c r="P109" s="60">
        <v>2.0</v>
      </c>
      <c r="Q109" s="64"/>
      <c r="R109" s="62" t="str">
        <f t="shared" si="50"/>
        <v/>
      </c>
      <c r="AA109" s="2"/>
    </row>
    <row r="110" ht="12.75" customHeight="1">
      <c r="A110" s="17"/>
      <c r="B110" s="18" t="s">
        <v>40</v>
      </c>
      <c r="C110" s="13">
        <f t="shared" si="45"/>
        <v>3</v>
      </c>
      <c r="D110" s="60">
        <v>3.0</v>
      </c>
      <c r="E110" s="64"/>
      <c r="F110" s="62" t="str">
        <f t="shared" si="46"/>
        <v/>
      </c>
      <c r="H110" s="18" t="s">
        <v>40</v>
      </c>
      <c r="I110" s="13" t="str">
        <f t="shared" si="47"/>
        <v/>
      </c>
      <c r="J110" s="65"/>
      <c r="K110" s="61">
        <v>2.0</v>
      </c>
      <c r="L110" s="62">
        <f t="shared" si="48"/>
        <v>2</v>
      </c>
      <c r="N110" s="18" t="s">
        <v>40</v>
      </c>
      <c r="O110" s="13">
        <f t="shared" si="49"/>
        <v>3</v>
      </c>
      <c r="P110" s="60">
        <v>3.0</v>
      </c>
      <c r="Q110" s="64"/>
      <c r="R110" s="62" t="str">
        <f t="shared" si="50"/>
        <v/>
      </c>
      <c r="AA110" s="2"/>
    </row>
    <row r="111" ht="12.75" customHeight="1">
      <c r="A111" s="17"/>
      <c r="B111" s="18" t="s">
        <v>42</v>
      </c>
      <c r="C111" s="13" t="str">
        <f t="shared" si="45"/>
        <v/>
      </c>
      <c r="D111" s="65"/>
      <c r="E111" s="61">
        <v>3.0</v>
      </c>
      <c r="F111" s="62">
        <f t="shared" si="46"/>
        <v>3</v>
      </c>
      <c r="H111" s="18" t="s">
        <v>42</v>
      </c>
      <c r="I111" s="13">
        <f t="shared" si="47"/>
        <v>0</v>
      </c>
      <c r="J111" s="60">
        <v>3.0</v>
      </c>
      <c r="K111" s="61">
        <v>2.0</v>
      </c>
      <c r="L111" s="62">
        <f t="shared" si="48"/>
        <v>0</v>
      </c>
      <c r="N111" s="18" t="s">
        <v>42</v>
      </c>
      <c r="O111" s="13" t="str">
        <f t="shared" si="49"/>
        <v/>
      </c>
      <c r="P111" s="65"/>
      <c r="Q111" s="61">
        <v>2.0</v>
      </c>
      <c r="R111" s="62">
        <f t="shared" si="50"/>
        <v>2</v>
      </c>
      <c r="AA111" s="2"/>
    </row>
    <row r="112" ht="12.75" customHeight="1">
      <c r="A112" s="17"/>
      <c r="B112" s="18" t="s">
        <v>43</v>
      </c>
      <c r="C112" s="13">
        <f t="shared" si="45"/>
        <v>3</v>
      </c>
      <c r="D112" s="60">
        <v>3.0</v>
      </c>
      <c r="E112" s="64"/>
      <c r="F112" s="62" t="str">
        <f t="shared" si="46"/>
        <v/>
      </c>
      <c r="H112" s="18" t="s">
        <v>43</v>
      </c>
      <c r="I112" s="13">
        <f t="shared" si="47"/>
        <v>2</v>
      </c>
      <c r="J112" s="60">
        <v>2.0</v>
      </c>
      <c r="K112" s="64"/>
      <c r="L112" s="62" t="str">
        <f t="shared" si="48"/>
        <v/>
      </c>
      <c r="N112" s="18" t="s">
        <v>43</v>
      </c>
      <c r="O112" s="13" t="str">
        <f t="shared" si="49"/>
        <v/>
      </c>
      <c r="P112" s="65"/>
      <c r="Q112" s="61">
        <v>3.0</v>
      </c>
      <c r="R112" s="62">
        <f t="shared" si="50"/>
        <v>3</v>
      </c>
      <c r="AA112" s="2"/>
    </row>
    <row r="113" ht="12.75" customHeight="1">
      <c r="A113" s="17"/>
      <c r="B113" s="18" t="s">
        <v>44</v>
      </c>
      <c r="C113" s="13">
        <f t="shared" si="45"/>
        <v>0</v>
      </c>
      <c r="D113" s="60">
        <v>2.0</v>
      </c>
      <c r="E113" s="61">
        <v>3.0</v>
      </c>
      <c r="F113" s="62">
        <f t="shared" si="46"/>
        <v>0</v>
      </c>
      <c r="H113" s="18" t="s">
        <v>44</v>
      </c>
      <c r="I113" s="13">
        <f t="shared" si="47"/>
        <v>0</v>
      </c>
      <c r="J113" s="60">
        <v>2.0</v>
      </c>
      <c r="K113" s="61">
        <v>3.0</v>
      </c>
      <c r="L113" s="62">
        <f t="shared" si="48"/>
        <v>0</v>
      </c>
      <c r="N113" s="18" t="s">
        <v>44</v>
      </c>
      <c r="O113" s="13">
        <f t="shared" si="49"/>
        <v>3</v>
      </c>
      <c r="P113" s="60">
        <v>3.0</v>
      </c>
      <c r="Q113" s="64"/>
      <c r="R113" s="62" t="str">
        <f t="shared" si="50"/>
        <v/>
      </c>
      <c r="AA113" s="2"/>
    </row>
    <row r="114" ht="12.75" customHeight="1">
      <c r="A114" s="17"/>
      <c r="B114" s="18" t="s">
        <v>45</v>
      </c>
      <c r="C114" s="13">
        <f t="shared" si="45"/>
        <v>3</v>
      </c>
      <c r="D114" s="60">
        <v>3.0</v>
      </c>
      <c r="E114" s="64"/>
      <c r="F114" s="62" t="str">
        <f t="shared" si="46"/>
        <v/>
      </c>
      <c r="H114" s="18" t="s">
        <v>45</v>
      </c>
      <c r="I114" s="13" t="str">
        <f t="shared" si="47"/>
        <v/>
      </c>
      <c r="J114" s="65"/>
      <c r="K114" s="61">
        <v>3.0</v>
      </c>
      <c r="L114" s="62">
        <f t="shared" si="48"/>
        <v>3</v>
      </c>
      <c r="N114" s="18" t="s">
        <v>45</v>
      </c>
      <c r="O114" s="13">
        <f t="shared" si="49"/>
        <v>2</v>
      </c>
      <c r="P114" s="60">
        <v>2.0</v>
      </c>
      <c r="Q114" s="64"/>
      <c r="R114" s="62" t="str">
        <f t="shared" si="50"/>
        <v/>
      </c>
      <c r="AA114" s="2"/>
    </row>
    <row r="115" ht="12.75" customHeight="1">
      <c r="A115" s="17"/>
      <c r="B115" s="18" t="s">
        <v>46</v>
      </c>
      <c r="C115" s="13">
        <f t="shared" si="45"/>
        <v>2</v>
      </c>
      <c r="D115" s="60">
        <v>2.0</v>
      </c>
      <c r="E115" s="64"/>
      <c r="F115" s="62" t="str">
        <f t="shared" si="46"/>
        <v/>
      </c>
      <c r="H115" s="18" t="s">
        <v>46</v>
      </c>
      <c r="I115" s="13">
        <f t="shared" si="47"/>
        <v>3</v>
      </c>
      <c r="J115" s="60">
        <v>3.0</v>
      </c>
      <c r="K115" s="64"/>
      <c r="L115" s="62" t="str">
        <f t="shared" si="48"/>
        <v/>
      </c>
      <c r="N115" s="18" t="s">
        <v>46</v>
      </c>
      <c r="O115" s="13">
        <f t="shared" si="49"/>
        <v>3</v>
      </c>
      <c r="P115" s="60">
        <v>3.0</v>
      </c>
      <c r="Q115" s="64"/>
      <c r="R115" s="62" t="str">
        <f t="shared" si="50"/>
        <v/>
      </c>
      <c r="AA115" s="2"/>
    </row>
    <row r="116" ht="12.75" customHeight="1">
      <c r="A116" s="17"/>
      <c r="B116" s="18" t="s">
        <v>47</v>
      </c>
      <c r="C116" s="13" t="str">
        <f t="shared" si="45"/>
        <v/>
      </c>
      <c r="D116" s="65"/>
      <c r="E116" s="64"/>
      <c r="F116" s="62" t="str">
        <f t="shared" si="46"/>
        <v/>
      </c>
      <c r="H116" s="18" t="s">
        <v>47</v>
      </c>
      <c r="I116" s="13">
        <f t="shared" si="47"/>
        <v>0</v>
      </c>
      <c r="J116" s="60">
        <v>2.0</v>
      </c>
      <c r="K116" s="61">
        <v>2.0</v>
      </c>
      <c r="L116" s="62">
        <f t="shared" si="48"/>
        <v>0</v>
      </c>
      <c r="N116" s="18" t="s">
        <v>47</v>
      </c>
      <c r="O116" s="13" t="str">
        <f t="shared" si="49"/>
        <v/>
      </c>
      <c r="P116" s="65"/>
      <c r="Q116" s="64"/>
      <c r="R116" s="62" t="str">
        <f t="shared" si="50"/>
        <v/>
      </c>
      <c r="AA116" s="2"/>
    </row>
    <row r="117" ht="12.75" customHeight="1">
      <c r="A117" s="17"/>
      <c r="B117" s="18" t="s">
        <v>48</v>
      </c>
      <c r="C117" s="13" t="str">
        <f t="shared" si="45"/>
        <v/>
      </c>
      <c r="D117" s="65"/>
      <c r="E117" s="64"/>
      <c r="F117" s="62" t="str">
        <f t="shared" si="46"/>
        <v/>
      </c>
      <c r="H117" s="18" t="s">
        <v>48</v>
      </c>
      <c r="I117" s="13" t="str">
        <f t="shared" si="47"/>
        <v/>
      </c>
      <c r="J117" s="65"/>
      <c r="K117" s="61">
        <v>2.0</v>
      </c>
      <c r="L117" s="62">
        <f t="shared" si="48"/>
        <v>2</v>
      </c>
      <c r="N117" s="18" t="s">
        <v>48</v>
      </c>
      <c r="O117" s="13" t="str">
        <f t="shared" si="49"/>
        <v/>
      </c>
      <c r="P117" s="65"/>
      <c r="Q117" s="64"/>
      <c r="R117" s="62" t="str">
        <f t="shared" si="50"/>
        <v/>
      </c>
      <c r="AA117" s="2"/>
    </row>
    <row r="118" ht="12.75" customHeight="1">
      <c r="A118" s="17"/>
      <c r="B118" s="18" t="s">
        <v>49</v>
      </c>
      <c r="C118" s="13" t="str">
        <f t="shared" si="45"/>
        <v/>
      </c>
      <c r="D118" s="65"/>
      <c r="E118" s="64"/>
      <c r="F118" s="62" t="str">
        <f t="shared" si="46"/>
        <v/>
      </c>
      <c r="H118" s="18" t="s">
        <v>49</v>
      </c>
      <c r="I118" s="13" t="str">
        <f t="shared" si="47"/>
        <v/>
      </c>
      <c r="J118" s="65"/>
      <c r="K118" s="64"/>
      <c r="L118" s="62" t="str">
        <f t="shared" si="48"/>
        <v/>
      </c>
      <c r="N118" s="18" t="s">
        <v>49</v>
      </c>
      <c r="O118" s="13" t="str">
        <f t="shared" si="49"/>
        <v/>
      </c>
      <c r="P118" s="65"/>
      <c r="Q118" s="64"/>
      <c r="R118" s="62" t="str">
        <f t="shared" si="50"/>
        <v/>
      </c>
      <c r="AA118" s="2"/>
    </row>
    <row r="119" ht="12.75" customHeight="1">
      <c r="A119" s="17"/>
      <c r="B119" s="18" t="s">
        <v>50</v>
      </c>
      <c r="C119" s="13" t="str">
        <f t="shared" si="45"/>
        <v/>
      </c>
      <c r="D119" s="65"/>
      <c r="E119" s="64"/>
      <c r="F119" s="62" t="str">
        <f t="shared" si="46"/>
        <v/>
      </c>
      <c r="H119" s="18" t="s">
        <v>50</v>
      </c>
      <c r="I119" s="13" t="str">
        <f t="shared" si="47"/>
        <v/>
      </c>
      <c r="J119" s="66"/>
      <c r="K119" s="69"/>
      <c r="L119" s="62" t="str">
        <f t="shared" si="48"/>
        <v/>
      </c>
      <c r="N119" s="18" t="s">
        <v>50</v>
      </c>
      <c r="O119" s="13" t="str">
        <f t="shared" si="49"/>
        <v/>
      </c>
      <c r="P119" s="65"/>
      <c r="Q119" s="64"/>
      <c r="R119" s="62" t="str">
        <f t="shared" si="50"/>
        <v/>
      </c>
      <c r="AA119" s="2"/>
    </row>
    <row r="120" ht="12.75" customHeight="1">
      <c r="A120" s="17"/>
      <c r="B120" s="18" t="s">
        <v>51</v>
      </c>
      <c r="C120" s="13" t="str">
        <f t="shared" si="45"/>
        <v/>
      </c>
      <c r="D120" s="66"/>
      <c r="E120" s="69"/>
      <c r="F120" s="62" t="str">
        <f t="shared" si="46"/>
        <v/>
      </c>
      <c r="H120" s="18" t="s">
        <v>51</v>
      </c>
      <c r="I120" s="13" t="str">
        <f t="shared" si="47"/>
        <v/>
      </c>
      <c r="J120" s="66"/>
      <c r="K120" s="69"/>
      <c r="L120" s="62" t="str">
        <f t="shared" si="48"/>
        <v/>
      </c>
      <c r="N120" s="18" t="s">
        <v>51</v>
      </c>
      <c r="O120" s="13" t="str">
        <f t="shared" si="49"/>
        <v/>
      </c>
      <c r="P120" s="66"/>
      <c r="Q120" s="69"/>
      <c r="R120" s="62" t="str">
        <f t="shared" si="50"/>
        <v/>
      </c>
      <c r="AA120" s="2"/>
    </row>
    <row r="121" ht="12.75" customHeight="1">
      <c r="A121" s="17"/>
      <c r="B121" s="18" t="s">
        <v>52</v>
      </c>
      <c r="C121" s="33">
        <f>SUM(C106:C120)</f>
        <v>14</v>
      </c>
      <c r="D121" s="33">
        <f>COUNTIFS(D106:D120, "&lt;&gt;0", D106:D120, "&lt;&gt;", E106:E120, "&lt;&gt;0", E106:E120, "&lt;&gt;")</f>
        <v>2</v>
      </c>
      <c r="E121" s="33">
        <f>COUNTIFS(D106:D120, "&lt;&gt;0", D106:D120, "&lt;&gt;", E106:E120, "&lt;&gt;0", E106:E120, "&lt;&gt;")</f>
        <v>2</v>
      </c>
      <c r="F121" s="33">
        <f>SUM(F106:F120)</f>
        <v>8</v>
      </c>
      <c r="H121" s="18" t="s">
        <v>52</v>
      </c>
      <c r="I121" s="33">
        <f>SUM(I106:I120)</f>
        <v>10</v>
      </c>
      <c r="J121" s="33">
        <f>COUNTIFS(J106:J120, "&lt;&gt;0", J106:J120, "&lt;&gt;", K106:K120, "&lt;&gt;0", K106:K120, "&lt;&gt;")</f>
        <v>5</v>
      </c>
      <c r="K121" s="33">
        <f>COUNTIFS(J106:J120, "&lt;&gt;0", J106:J120, "&lt;&gt;", K106:K120, "&lt;&gt;0", K106:K120, "&lt;&gt;")</f>
        <v>5</v>
      </c>
      <c r="L121" s="33">
        <f>SUM(L106:L120)</f>
        <v>7</v>
      </c>
      <c r="N121" s="18" t="s">
        <v>52</v>
      </c>
      <c r="O121" s="33">
        <f>SUM(O106:O120)</f>
        <v>16</v>
      </c>
      <c r="P121" s="33">
        <f>COUNTIFS(P106:P120, "&lt;&gt;0", P106:P120, "&lt;&gt;", Q106:Q120, "&lt;&gt;0", Q106:Q120, "&lt;&gt;")</f>
        <v>1</v>
      </c>
      <c r="Q121" s="33">
        <f>COUNTIFS(P106:P120, "&lt;&gt;0", P106:P120, "&lt;&gt;", Q106:Q120, "&lt;&gt;0", Q106:Q120, "&lt;&gt;")</f>
        <v>1</v>
      </c>
      <c r="R121" s="33">
        <f>SUM(R106:R120)</f>
        <v>7</v>
      </c>
      <c r="AA121" s="2"/>
    </row>
    <row r="122" ht="12.75" customHeight="1">
      <c r="A122" s="17"/>
      <c r="B122" s="17" t="s">
        <v>53</v>
      </c>
      <c r="C122" s="70">
        <f>D122</f>
        <v>1</v>
      </c>
      <c r="D122" s="71">
        <f>IF(C121&gt;F121, 1, (IF(C121=F121, 0, -1)))</f>
        <v>1</v>
      </c>
      <c r="E122" s="33">
        <f>IF(F121&gt;C121, 1, (IF(F121=C121, 0, -1)))</f>
        <v>-1</v>
      </c>
      <c r="F122" s="70">
        <f>E122</f>
        <v>-1</v>
      </c>
      <c r="H122" s="17" t="s">
        <v>53</v>
      </c>
      <c r="I122" s="70">
        <f>J122</f>
        <v>1</v>
      </c>
      <c r="J122" s="71">
        <f>IF(I121&gt;L121, 1, (IF(I121=L121, 0, -1)))</f>
        <v>1</v>
      </c>
      <c r="K122" s="33">
        <f>IF(L121&gt;I121, 1, (IF(L121=I121, 0, -1)))</f>
        <v>-1</v>
      </c>
      <c r="L122" s="70">
        <f>K122</f>
        <v>-1</v>
      </c>
      <c r="N122" s="17" t="s">
        <v>53</v>
      </c>
      <c r="O122" s="70">
        <f>P122</f>
        <v>1</v>
      </c>
      <c r="P122" s="71">
        <f>IF(O121&gt;R121, 1, (IF(O121=R121, 0, -1)))</f>
        <v>1</v>
      </c>
      <c r="Q122" s="33">
        <f>IF(R121&gt;O121, 1, (IF(R121=O121, 0, -1)))</f>
        <v>-1</v>
      </c>
      <c r="R122" s="70">
        <f>Q122</f>
        <v>-1</v>
      </c>
      <c r="AA122" s="2"/>
    </row>
    <row r="123" ht="12.75" customHeight="1">
      <c r="A123" s="72"/>
      <c r="B123" s="72"/>
      <c r="AA123" s="2"/>
    </row>
    <row r="124" ht="12.75" customHeight="1">
      <c r="A124" s="72"/>
      <c r="B124" s="72"/>
      <c r="AA124" s="2"/>
    </row>
    <row r="125" ht="12.75" customHeight="1">
      <c r="AA125" s="2"/>
    </row>
    <row r="126" ht="12.75" customHeight="1">
      <c r="AA126" s="2"/>
    </row>
    <row r="127" ht="12.75" customHeight="1">
      <c r="AA127" s="2"/>
    </row>
    <row r="128" ht="12.75" customHeight="1">
      <c r="AA128" s="2"/>
    </row>
    <row r="129" ht="12.75" customHeight="1">
      <c r="AA129" s="2"/>
    </row>
    <row r="130" ht="12.75" customHeight="1">
      <c r="AA130" s="2"/>
    </row>
    <row r="131" ht="12.75" customHeight="1">
      <c r="AA131" s="2"/>
    </row>
    <row r="132" ht="12.75" customHeight="1">
      <c r="AA132" s="2"/>
    </row>
    <row r="133" ht="12.75" customHeight="1">
      <c r="AA133" s="2"/>
    </row>
    <row r="134" ht="12.75" customHeight="1">
      <c r="AA134" s="2"/>
    </row>
    <row r="135" ht="12.75" customHeight="1">
      <c r="AA135" s="2"/>
    </row>
    <row r="136" ht="12.75" customHeight="1">
      <c r="AA136" s="2"/>
    </row>
    <row r="137" ht="12.75" customHeight="1">
      <c r="AA137" s="2"/>
    </row>
    <row r="138" ht="12.75" customHeight="1">
      <c r="AA138" s="2"/>
    </row>
    <row r="139" ht="12.75" customHeight="1">
      <c r="AA139" s="2"/>
    </row>
    <row r="140" ht="12.75" customHeight="1">
      <c r="AA140" s="2"/>
    </row>
    <row r="141" ht="12.75" customHeight="1">
      <c r="AA141" s="2"/>
    </row>
    <row r="142" ht="12.75" customHeight="1">
      <c r="AA142" s="2"/>
    </row>
    <row r="143" ht="12.75" customHeight="1">
      <c r="AA143" s="2"/>
    </row>
    <row r="144" ht="12.75" customHeight="1">
      <c r="AA144" s="2"/>
    </row>
    <row r="145" ht="12.75" customHeight="1">
      <c r="AA145" s="2"/>
    </row>
    <row r="146" ht="12.75" customHeight="1">
      <c r="AA146" s="2"/>
    </row>
    <row r="147" ht="12.75" customHeight="1">
      <c r="AA147" s="2"/>
    </row>
    <row r="148" ht="12.75" customHeight="1">
      <c r="AA148" s="2"/>
    </row>
    <row r="149" ht="12.75" customHeight="1">
      <c r="AA149" s="2"/>
    </row>
    <row r="150" ht="12.75" customHeight="1">
      <c r="AA150" s="2"/>
    </row>
    <row r="151" ht="12.75" customHeight="1">
      <c r="AA151" s="2"/>
    </row>
    <row r="152" ht="12.75" customHeight="1">
      <c r="AA152" s="2"/>
    </row>
    <row r="153" ht="12.75" customHeight="1">
      <c r="AA153" s="2"/>
    </row>
    <row r="154" ht="12.75" customHeight="1">
      <c r="AA154" s="2"/>
    </row>
    <row r="155" ht="12.75" customHeight="1">
      <c r="AA155" s="2"/>
    </row>
    <row r="156" ht="12.75" customHeight="1">
      <c r="AA156" s="2"/>
    </row>
    <row r="157" ht="12.75" customHeight="1">
      <c r="AA157" s="2"/>
    </row>
    <row r="158" ht="12.75" customHeight="1">
      <c r="AA158" s="2"/>
    </row>
    <row r="159" ht="12.75" customHeight="1">
      <c r="AA159" s="2"/>
    </row>
    <row r="160" ht="12.75" customHeight="1">
      <c r="AA160" s="2"/>
    </row>
    <row r="161" ht="12.75" customHeight="1">
      <c r="AA161" s="2"/>
    </row>
    <row r="162" ht="12.75" customHeight="1">
      <c r="AA162" s="2"/>
    </row>
    <row r="163" ht="12.75" customHeight="1">
      <c r="A163" s="1"/>
      <c r="B163" s="1"/>
      <c r="AA163" s="2"/>
    </row>
    <row r="164" ht="12.75" customHeight="1">
      <c r="A164" s="1"/>
      <c r="B164" s="1"/>
      <c r="AA164" s="2"/>
    </row>
    <row r="165" ht="12.75" customHeight="1">
      <c r="A165" s="1"/>
      <c r="B165" s="1"/>
      <c r="AA165" s="2"/>
    </row>
    <row r="166" ht="12.75" customHeight="1">
      <c r="A166" s="1"/>
      <c r="B166" s="1"/>
      <c r="AA166" s="2"/>
    </row>
    <row r="167" ht="12.75" customHeight="1">
      <c r="A167" s="1"/>
      <c r="B167" s="1"/>
      <c r="AA167" s="2"/>
    </row>
    <row r="168" ht="12.75" customHeight="1">
      <c r="A168" s="1"/>
      <c r="B168" s="1"/>
      <c r="AA168" s="2"/>
    </row>
    <row r="169" ht="12.75" customHeight="1">
      <c r="A169" s="1"/>
      <c r="B169" s="1"/>
      <c r="AA169" s="2"/>
    </row>
    <row r="170" ht="12.75" customHeight="1">
      <c r="A170" s="1"/>
      <c r="B170" s="1"/>
      <c r="AA170" s="2"/>
    </row>
    <row r="171" ht="12.75" customHeight="1">
      <c r="A171" s="1"/>
      <c r="B171" s="1"/>
      <c r="AA171" s="2"/>
    </row>
    <row r="172" ht="12.75" customHeight="1">
      <c r="A172" s="1"/>
      <c r="B172" s="1"/>
      <c r="AA172" s="2"/>
    </row>
    <row r="173" ht="12.75" customHeight="1">
      <c r="A173" s="1"/>
      <c r="B173" s="1"/>
      <c r="AA173" s="2"/>
    </row>
    <row r="174" ht="12.75" customHeight="1">
      <c r="A174" s="1"/>
      <c r="B174" s="1"/>
      <c r="AA174" s="2"/>
    </row>
    <row r="175" ht="12.75" customHeight="1">
      <c r="A175" s="1"/>
      <c r="B175" s="1"/>
      <c r="AA175" s="2"/>
    </row>
    <row r="176" ht="12.75" customHeight="1">
      <c r="A176" s="1"/>
      <c r="B176" s="1"/>
      <c r="AA176" s="2"/>
    </row>
    <row r="177" ht="12.75" customHeight="1">
      <c r="A177" s="1"/>
      <c r="B177" s="1"/>
      <c r="AA177" s="2"/>
    </row>
    <row r="178" ht="12.75" customHeight="1">
      <c r="A178" s="1"/>
      <c r="B178" s="1"/>
      <c r="AA178" s="2"/>
    </row>
    <row r="179" ht="12.75" customHeight="1">
      <c r="A179" s="1"/>
      <c r="B179" s="1"/>
      <c r="AA179" s="2"/>
    </row>
    <row r="180" ht="12.75" customHeight="1">
      <c r="A180" s="1"/>
      <c r="B180" s="1"/>
      <c r="AA180" s="2"/>
    </row>
    <row r="181" ht="12.75" customHeight="1">
      <c r="A181" s="1"/>
      <c r="B181" s="1"/>
      <c r="AA181" s="2"/>
    </row>
    <row r="182" ht="12.75" customHeight="1">
      <c r="A182" s="1"/>
      <c r="B182" s="1"/>
      <c r="AA182" s="2"/>
    </row>
    <row r="183" ht="12.75" customHeight="1">
      <c r="A183" s="1"/>
      <c r="B183" s="1"/>
      <c r="L183" s="72"/>
      <c r="S183" s="72"/>
      <c r="T183" s="72"/>
      <c r="U183" s="81"/>
      <c r="V183" s="81"/>
      <c r="AA183" s="2"/>
    </row>
    <row r="184" ht="12.75" customHeight="1">
      <c r="A184" s="1"/>
      <c r="B184" s="1"/>
      <c r="L184" s="72"/>
      <c r="S184" s="72"/>
      <c r="T184" s="72"/>
      <c r="U184" s="81"/>
      <c r="V184" s="81"/>
      <c r="AA184" s="2"/>
    </row>
    <row r="185" ht="12.75" customHeight="1">
      <c r="A185" s="1"/>
      <c r="B185" s="1"/>
      <c r="L185" s="72"/>
      <c r="S185" s="72"/>
      <c r="T185" s="72"/>
      <c r="U185" s="81"/>
      <c r="V185" s="81"/>
      <c r="AA185" s="2"/>
    </row>
    <row r="186" ht="12.75" customHeight="1">
      <c r="A186" s="1"/>
      <c r="B186" s="1"/>
      <c r="L186" s="72"/>
      <c r="S186" s="72"/>
      <c r="T186" s="72"/>
      <c r="U186" s="81"/>
      <c r="V186" s="81"/>
      <c r="AA186" s="2"/>
    </row>
    <row r="187" ht="12.75" customHeight="1">
      <c r="A187" s="1"/>
      <c r="B187" s="1"/>
      <c r="L187" s="72"/>
      <c r="S187" s="72"/>
      <c r="T187" s="72"/>
      <c r="U187" s="81"/>
      <c r="V187" s="81"/>
      <c r="AA187" s="2"/>
    </row>
    <row r="188" ht="12.75" customHeight="1">
      <c r="A188" s="1"/>
      <c r="B188" s="1"/>
      <c r="L188" s="72"/>
      <c r="S188" s="72"/>
      <c r="T188" s="72"/>
      <c r="U188" s="81"/>
      <c r="V188" s="81"/>
      <c r="AA188" s="2"/>
    </row>
    <row r="189" ht="12.75" customHeight="1">
      <c r="A189" s="1"/>
      <c r="B189" s="1"/>
      <c r="L189" s="72"/>
      <c r="S189" s="72"/>
      <c r="T189" s="72"/>
      <c r="U189" s="81"/>
      <c r="V189" s="81"/>
      <c r="AA189" s="2"/>
    </row>
    <row r="190" ht="12.75" customHeight="1">
      <c r="A190" s="1"/>
      <c r="B190" s="1"/>
      <c r="L190" s="72"/>
      <c r="S190" s="72"/>
      <c r="T190" s="72"/>
      <c r="U190" s="81"/>
      <c r="V190" s="81"/>
      <c r="AA190" s="2"/>
    </row>
    <row r="191" ht="12.75" customHeight="1">
      <c r="A191" s="1"/>
      <c r="B191" s="1"/>
      <c r="L191" s="72"/>
      <c r="S191" s="72"/>
      <c r="T191" s="72"/>
      <c r="U191" s="81"/>
      <c r="V191" s="81"/>
      <c r="AA191" s="2"/>
    </row>
    <row r="192" ht="12.75" customHeight="1">
      <c r="A192" s="1"/>
      <c r="B192" s="1"/>
      <c r="L192" s="72"/>
      <c r="S192" s="72"/>
      <c r="T192" s="72"/>
      <c r="U192" s="81"/>
      <c r="V192" s="81"/>
      <c r="AA192" s="2"/>
    </row>
    <row r="193" ht="12.75" customHeight="1">
      <c r="A193" s="1"/>
      <c r="B193" s="1"/>
      <c r="L193" s="72"/>
      <c r="S193" s="72"/>
      <c r="T193" s="72"/>
      <c r="U193" s="81"/>
      <c r="V193" s="81"/>
      <c r="AA193" s="2"/>
    </row>
    <row r="194" ht="12.75" customHeight="1">
      <c r="A194" s="1"/>
      <c r="B194" s="1"/>
      <c r="L194" s="72"/>
      <c r="S194" s="72"/>
      <c r="T194" s="72"/>
      <c r="U194" s="81"/>
      <c r="V194" s="81"/>
      <c r="AA194" s="2"/>
    </row>
    <row r="195" ht="12.75" customHeight="1">
      <c r="A195" s="1"/>
      <c r="B195" s="1"/>
      <c r="L195" s="72"/>
      <c r="S195" s="72"/>
      <c r="T195" s="72"/>
      <c r="U195" s="81"/>
      <c r="V195" s="81"/>
      <c r="AA195" s="2"/>
    </row>
    <row r="196" ht="12.75" customHeight="1">
      <c r="A196" s="1"/>
      <c r="B196" s="1"/>
      <c r="L196" s="72"/>
      <c r="S196" s="72"/>
      <c r="T196" s="72"/>
      <c r="U196" s="81"/>
      <c r="V196" s="81"/>
      <c r="AA196" s="2"/>
    </row>
    <row r="197" ht="12.75" customHeight="1">
      <c r="A197" s="1"/>
      <c r="B197" s="1"/>
      <c r="L197" s="72"/>
      <c r="S197" s="72"/>
      <c r="T197" s="72"/>
      <c r="U197" s="81"/>
      <c r="V197" s="81"/>
      <c r="AA197" s="2"/>
    </row>
    <row r="198" ht="12.75" customHeight="1">
      <c r="A198" s="1"/>
      <c r="B198" s="1"/>
      <c r="L198" s="72"/>
      <c r="S198" s="72"/>
      <c r="T198" s="72"/>
      <c r="U198" s="81"/>
      <c r="V198" s="81"/>
      <c r="AA198" s="2"/>
    </row>
    <row r="199" ht="12.75" customHeight="1">
      <c r="A199" s="1"/>
      <c r="B199" s="1"/>
      <c r="L199" s="72"/>
      <c r="S199" s="72"/>
      <c r="T199" s="72"/>
      <c r="U199" s="81"/>
      <c r="V199" s="81"/>
      <c r="AA199" s="2"/>
    </row>
    <row r="200" ht="12.75" customHeight="1">
      <c r="A200" s="1"/>
      <c r="B200" s="1"/>
      <c r="L200" s="72"/>
      <c r="S200" s="72"/>
      <c r="T200" s="72"/>
      <c r="U200" s="81"/>
      <c r="V200" s="81"/>
      <c r="AA200" s="2"/>
    </row>
    <row r="201" ht="12.75" customHeight="1">
      <c r="A201" s="1"/>
      <c r="B201" s="1"/>
      <c r="L201" s="72"/>
      <c r="S201" s="72"/>
      <c r="T201" s="72"/>
      <c r="U201" s="81"/>
      <c r="V201" s="81"/>
      <c r="AA201" s="2"/>
    </row>
    <row r="202" ht="12.75" customHeight="1">
      <c r="A202" s="1"/>
      <c r="B202" s="1"/>
      <c r="L202" s="72"/>
      <c r="S202" s="72"/>
      <c r="T202" s="72"/>
      <c r="U202" s="81"/>
      <c r="V202" s="81"/>
      <c r="AA202" s="2"/>
    </row>
    <row r="203" ht="12.75" customHeight="1">
      <c r="A203" s="1"/>
      <c r="B203" s="1"/>
      <c r="L203" s="72"/>
      <c r="S203" s="72"/>
      <c r="T203" s="72"/>
      <c r="U203" s="81"/>
      <c r="V203" s="81"/>
      <c r="AA203" s="2"/>
    </row>
    <row r="204" ht="12.75" customHeight="1">
      <c r="A204" s="1"/>
      <c r="B204" s="1"/>
      <c r="L204" s="72"/>
      <c r="S204" s="72"/>
      <c r="T204" s="72"/>
      <c r="U204" s="81"/>
      <c r="V204" s="81"/>
      <c r="AA204" s="2"/>
    </row>
    <row r="205" ht="12.75" customHeight="1">
      <c r="A205" s="1"/>
      <c r="B205" s="1"/>
      <c r="L205" s="72"/>
      <c r="S205" s="72"/>
      <c r="T205" s="72"/>
      <c r="U205" s="81"/>
      <c r="V205" s="81"/>
      <c r="AA205" s="2"/>
    </row>
    <row r="206" ht="12.75" customHeight="1">
      <c r="A206" s="1"/>
      <c r="B206" s="1"/>
      <c r="L206" s="72"/>
      <c r="S206" s="72"/>
      <c r="T206" s="72"/>
      <c r="U206" s="81"/>
      <c r="V206" s="81"/>
      <c r="AA206" s="2"/>
    </row>
    <row r="207" ht="12.75" customHeight="1">
      <c r="A207" s="1"/>
      <c r="B207" s="1"/>
      <c r="L207" s="72"/>
      <c r="S207" s="72"/>
      <c r="T207" s="72"/>
      <c r="U207" s="81"/>
      <c r="V207" s="81"/>
      <c r="AA207" s="2"/>
    </row>
    <row r="208" ht="12.75" customHeight="1">
      <c r="A208" s="1"/>
      <c r="B208" s="1"/>
      <c r="L208" s="72"/>
      <c r="S208" s="72"/>
      <c r="T208" s="72"/>
      <c r="U208" s="81"/>
      <c r="V208" s="81"/>
      <c r="AA208" s="2"/>
    </row>
    <row r="209" ht="12.75" customHeight="1">
      <c r="A209" s="1"/>
      <c r="B209" s="1"/>
      <c r="L209" s="72"/>
      <c r="S209" s="72"/>
      <c r="T209" s="72"/>
      <c r="U209" s="81"/>
      <c r="V209" s="81"/>
      <c r="AA209" s="2"/>
    </row>
    <row r="210" ht="12.75" customHeight="1">
      <c r="A210" s="1"/>
      <c r="B210" s="1"/>
      <c r="L210" s="72"/>
      <c r="S210" s="72"/>
      <c r="T210" s="72"/>
      <c r="U210" s="81"/>
      <c r="V210" s="81"/>
      <c r="AA210" s="2"/>
    </row>
    <row r="211" ht="12.75" customHeight="1">
      <c r="A211" s="1"/>
      <c r="B211" s="1"/>
      <c r="L211" s="72"/>
      <c r="S211" s="72"/>
      <c r="T211" s="72"/>
      <c r="U211" s="81"/>
      <c r="V211" s="81"/>
      <c r="AA211" s="2"/>
    </row>
    <row r="212" ht="12.75" customHeight="1">
      <c r="A212" s="1"/>
      <c r="B212" s="1"/>
      <c r="L212" s="72"/>
      <c r="S212" s="72"/>
      <c r="T212" s="72"/>
      <c r="U212" s="81"/>
      <c r="V212" s="81"/>
      <c r="AA212" s="2"/>
    </row>
    <row r="213" ht="12.75" customHeight="1">
      <c r="A213" s="1"/>
      <c r="B213" s="1"/>
      <c r="L213" s="72"/>
      <c r="S213" s="72"/>
      <c r="T213" s="72"/>
      <c r="U213" s="81"/>
      <c r="V213" s="81"/>
      <c r="AA213" s="2"/>
    </row>
    <row r="214" ht="12.75" customHeight="1">
      <c r="A214" s="1"/>
      <c r="B214" s="1"/>
      <c r="L214" s="72"/>
      <c r="S214" s="72"/>
      <c r="T214" s="72"/>
      <c r="U214" s="81"/>
      <c r="V214" s="81"/>
      <c r="AA214" s="2"/>
    </row>
    <row r="215" ht="12.75" customHeight="1">
      <c r="A215" s="1"/>
      <c r="B215" s="1"/>
      <c r="L215" s="72"/>
      <c r="S215" s="72"/>
      <c r="T215" s="72"/>
      <c r="U215" s="81"/>
      <c r="V215" s="81"/>
      <c r="AA215" s="2"/>
    </row>
    <row r="216" ht="12.75" customHeight="1">
      <c r="A216" s="1"/>
      <c r="B216" s="1"/>
      <c r="L216" s="72"/>
      <c r="S216" s="72"/>
      <c r="T216" s="72"/>
      <c r="U216" s="81"/>
      <c r="V216" s="81"/>
      <c r="AA216" s="2"/>
    </row>
    <row r="217" ht="12.75" customHeight="1">
      <c r="A217" s="1"/>
      <c r="B217" s="1"/>
      <c r="L217" s="72"/>
      <c r="S217" s="72"/>
      <c r="T217" s="72"/>
      <c r="U217" s="81"/>
      <c r="V217" s="81"/>
      <c r="AA217" s="2"/>
    </row>
    <row r="218" ht="12.75" customHeight="1">
      <c r="A218" s="1"/>
      <c r="B218" s="1"/>
      <c r="L218" s="72"/>
      <c r="S218" s="72"/>
      <c r="T218" s="72"/>
      <c r="U218" s="81"/>
      <c r="V218" s="81"/>
      <c r="AA218" s="2"/>
    </row>
    <row r="219" ht="12.75" customHeight="1">
      <c r="A219" s="1"/>
      <c r="B219" s="1"/>
      <c r="L219" s="72"/>
      <c r="S219" s="72"/>
      <c r="T219" s="72"/>
      <c r="U219" s="81"/>
      <c r="V219" s="81"/>
      <c r="AA219" s="2"/>
    </row>
    <row r="220" ht="12.75" customHeight="1">
      <c r="A220" s="1"/>
      <c r="B220" s="1"/>
      <c r="L220" s="72"/>
      <c r="S220" s="72"/>
      <c r="T220" s="72"/>
      <c r="U220" s="81"/>
      <c r="V220" s="81"/>
      <c r="AA220" s="2"/>
    </row>
    <row r="221" ht="12.75" customHeight="1">
      <c r="A221" s="1"/>
      <c r="B221" s="1"/>
      <c r="L221" s="72"/>
      <c r="S221" s="72"/>
      <c r="T221" s="72"/>
      <c r="U221" s="81"/>
      <c r="V221" s="81"/>
      <c r="AA221" s="2"/>
    </row>
    <row r="222" ht="12.75" customHeight="1">
      <c r="A222" s="1"/>
      <c r="B222" s="1"/>
      <c r="L222" s="72"/>
      <c r="S222" s="72"/>
      <c r="T222" s="72"/>
      <c r="U222" s="81"/>
      <c r="V222" s="81"/>
      <c r="AA222" s="2"/>
    </row>
    <row r="223" ht="12.75" customHeight="1">
      <c r="A223" s="1"/>
      <c r="B223" s="1"/>
      <c r="L223" s="72"/>
      <c r="S223" s="72"/>
      <c r="T223" s="72"/>
      <c r="U223" s="81"/>
      <c r="V223" s="81"/>
      <c r="AA223" s="2"/>
    </row>
    <row r="224" ht="12.75" customHeight="1">
      <c r="A224" s="1"/>
      <c r="B224" s="1"/>
      <c r="L224" s="72"/>
      <c r="S224" s="72"/>
      <c r="T224" s="72"/>
      <c r="U224" s="81"/>
      <c r="V224" s="81"/>
      <c r="AA224" s="2"/>
    </row>
    <row r="225" ht="12.75" customHeight="1">
      <c r="A225" s="1"/>
      <c r="B225" s="1"/>
      <c r="L225" s="72"/>
      <c r="S225" s="72"/>
      <c r="T225" s="72"/>
      <c r="U225" s="81"/>
      <c r="V225" s="81"/>
      <c r="AA225" s="2"/>
    </row>
    <row r="226" ht="12.75" customHeight="1">
      <c r="A226" s="1"/>
      <c r="B226" s="1"/>
      <c r="L226" s="72"/>
      <c r="S226" s="72"/>
      <c r="T226" s="72"/>
      <c r="U226" s="81"/>
      <c r="V226" s="81"/>
      <c r="AA226" s="2"/>
    </row>
    <row r="227" ht="12.75" customHeight="1">
      <c r="A227" s="1"/>
      <c r="B227" s="1"/>
      <c r="L227" s="72"/>
      <c r="S227" s="72"/>
      <c r="T227" s="72"/>
      <c r="U227" s="81"/>
      <c r="V227" s="81"/>
      <c r="AA227" s="2"/>
    </row>
    <row r="228" ht="12.75" customHeight="1">
      <c r="A228" s="1"/>
      <c r="B228" s="1"/>
      <c r="L228" s="72"/>
      <c r="S228" s="72"/>
      <c r="T228" s="72"/>
      <c r="U228" s="81"/>
      <c r="V228" s="81"/>
      <c r="AA228" s="2"/>
    </row>
    <row r="229" ht="12.75" customHeight="1">
      <c r="A229" s="1"/>
      <c r="B229" s="1"/>
      <c r="L229" s="72"/>
      <c r="S229" s="72"/>
      <c r="T229" s="72"/>
      <c r="U229" s="81"/>
      <c r="V229" s="81"/>
      <c r="AA229" s="2"/>
    </row>
    <row r="230" ht="12.75" customHeight="1">
      <c r="A230" s="1"/>
      <c r="B230" s="1"/>
      <c r="L230" s="72"/>
      <c r="S230" s="72"/>
      <c r="T230" s="72"/>
      <c r="U230" s="81"/>
      <c r="V230" s="81"/>
      <c r="AA230" s="2"/>
    </row>
    <row r="231" ht="12.75" customHeight="1">
      <c r="A231" s="1"/>
      <c r="B231" s="1"/>
      <c r="L231" s="72"/>
      <c r="S231" s="72"/>
      <c r="T231" s="72"/>
      <c r="U231" s="81"/>
      <c r="V231" s="81"/>
      <c r="AA231" s="2"/>
    </row>
    <row r="232" ht="12.75" customHeight="1">
      <c r="A232" s="1"/>
      <c r="B232" s="1"/>
      <c r="L232" s="72"/>
      <c r="S232" s="72"/>
      <c r="T232" s="72"/>
      <c r="U232" s="81"/>
      <c r="V232" s="81"/>
      <c r="AA232" s="2"/>
    </row>
    <row r="233" ht="12.75" customHeight="1">
      <c r="A233" s="1"/>
      <c r="B233" s="1"/>
      <c r="L233" s="72"/>
      <c r="S233" s="72"/>
      <c r="T233" s="72"/>
      <c r="U233" s="81"/>
      <c r="V233" s="81"/>
      <c r="AA233" s="2"/>
    </row>
    <row r="234" ht="12.75" customHeight="1">
      <c r="A234" s="1"/>
      <c r="B234" s="1"/>
      <c r="L234" s="72"/>
      <c r="S234" s="72"/>
      <c r="T234" s="72"/>
      <c r="U234" s="81"/>
      <c r="V234" s="81"/>
      <c r="AA234" s="2"/>
    </row>
    <row r="235" ht="12.75" customHeight="1">
      <c r="A235" s="1"/>
      <c r="B235" s="1"/>
      <c r="L235" s="72"/>
      <c r="S235" s="72"/>
      <c r="T235" s="72"/>
      <c r="U235" s="81"/>
      <c r="V235" s="81"/>
      <c r="AA235" s="2"/>
    </row>
    <row r="236" ht="12.75" customHeight="1">
      <c r="A236" s="1"/>
      <c r="B236" s="1"/>
      <c r="L236" s="72"/>
      <c r="S236" s="72"/>
      <c r="T236" s="72"/>
      <c r="U236" s="81"/>
      <c r="V236" s="81"/>
      <c r="AA236" s="2"/>
    </row>
    <row r="237" ht="12.75" customHeight="1">
      <c r="A237" s="1"/>
      <c r="B237" s="1"/>
      <c r="L237" s="72"/>
      <c r="S237" s="72"/>
      <c r="T237" s="72"/>
      <c r="U237" s="81"/>
      <c r="V237" s="81"/>
      <c r="AA237" s="2"/>
    </row>
    <row r="238" ht="12.75" customHeight="1">
      <c r="A238" s="1"/>
      <c r="B238" s="1"/>
      <c r="L238" s="72"/>
      <c r="S238" s="72"/>
      <c r="T238" s="72"/>
      <c r="U238" s="81"/>
      <c r="V238" s="81"/>
      <c r="AA238" s="2"/>
    </row>
    <row r="239" ht="12.75" customHeight="1">
      <c r="A239" s="1"/>
      <c r="B239" s="1"/>
      <c r="L239" s="72"/>
      <c r="S239" s="72"/>
      <c r="T239" s="72"/>
      <c r="U239" s="81"/>
      <c r="V239" s="81"/>
      <c r="AA239" s="2"/>
    </row>
    <row r="240" ht="12.75" customHeight="1">
      <c r="A240" s="1"/>
      <c r="B240" s="1"/>
      <c r="L240" s="72"/>
      <c r="S240" s="72"/>
      <c r="T240" s="72"/>
      <c r="U240" s="81"/>
      <c r="V240" s="81"/>
      <c r="AA240" s="2"/>
    </row>
    <row r="241" ht="12.75" customHeight="1">
      <c r="A241" s="1"/>
      <c r="B241" s="1"/>
      <c r="L241" s="72"/>
      <c r="S241" s="72"/>
      <c r="T241" s="72"/>
      <c r="U241" s="81"/>
      <c r="V241" s="81"/>
      <c r="AA241" s="2"/>
    </row>
    <row r="242" ht="12.75" customHeight="1">
      <c r="A242" s="1"/>
      <c r="B242" s="1"/>
      <c r="L242" s="72"/>
      <c r="S242" s="72"/>
      <c r="T242" s="72"/>
      <c r="U242" s="81"/>
      <c r="V242" s="81"/>
      <c r="AA242" s="2"/>
    </row>
    <row r="243" ht="12.75" customHeight="1">
      <c r="A243" s="1"/>
      <c r="B243" s="1"/>
      <c r="L243" s="72"/>
      <c r="S243" s="72"/>
      <c r="T243" s="72"/>
      <c r="U243" s="81"/>
      <c r="V243" s="81"/>
      <c r="AA243" s="2"/>
    </row>
    <row r="244" ht="12.75" customHeight="1">
      <c r="A244" s="1"/>
      <c r="B244" s="1"/>
      <c r="L244" s="72"/>
      <c r="S244" s="72"/>
      <c r="T244" s="72"/>
      <c r="U244" s="81"/>
      <c r="V244" s="81"/>
      <c r="AA244" s="2"/>
    </row>
    <row r="245" ht="12.75" customHeight="1">
      <c r="A245" s="1"/>
      <c r="B245" s="1"/>
      <c r="L245" s="72"/>
      <c r="S245" s="72"/>
      <c r="T245" s="72"/>
      <c r="U245" s="81"/>
      <c r="V245" s="81"/>
      <c r="AA245" s="2"/>
    </row>
    <row r="246" ht="12.75" customHeight="1">
      <c r="A246" s="1"/>
      <c r="B246" s="1"/>
      <c r="L246" s="72"/>
      <c r="S246" s="72"/>
      <c r="T246" s="72"/>
      <c r="U246" s="81"/>
      <c r="V246" s="81"/>
      <c r="AA246" s="2"/>
    </row>
    <row r="247" ht="12.75" customHeight="1">
      <c r="A247" s="1"/>
      <c r="B247" s="1"/>
      <c r="L247" s="72"/>
      <c r="S247" s="72"/>
      <c r="T247" s="72"/>
      <c r="U247" s="81"/>
      <c r="V247" s="81"/>
      <c r="AA247" s="2"/>
    </row>
    <row r="248" ht="12.75" customHeight="1">
      <c r="A248" s="1"/>
      <c r="B248" s="1"/>
      <c r="L248" s="72"/>
      <c r="S248" s="72"/>
      <c r="T248" s="72"/>
      <c r="U248" s="81"/>
      <c r="V248" s="81"/>
      <c r="AA248" s="2"/>
    </row>
    <row r="249" ht="12.75" customHeight="1">
      <c r="A249" s="1"/>
      <c r="B249" s="1"/>
      <c r="L249" s="72"/>
      <c r="S249" s="72"/>
      <c r="T249" s="72"/>
      <c r="U249" s="81"/>
      <c r="V249" s="81"/>
      <c r="AA249" s="2"/>
    </row>
    <row r="250" ht="12.75" customHeight="1">
      <c r="A250" s="1"/>
      <c r="B250" s="1"/>
      <c r="L250" s="72"/>
      <c r="S250" s="72"/>
      <c r="T250" s="72"/>
      <c r="U250" s="81"/>
      <c r="V250" s="81"/>
      <c r="AA250" s="2"/>
    </row>
    <row r="251" ht="12.75" customHeight="1">
      <c r="A251" s="1"/>
      <c r="B251" s="1"/>
      <c r="L251" s="72"/>
      <c r="S251" s="72"/>
      <c r="T251" s="72"/>
      <c r="U251" s="81"/>
      <c r="V251" s="81"/>
      <c r="AA251" s="2"/>
    </row>
    <row r="252" ht="12.75" customHeight="1">
      <c r="A252" s="1"/>
      <c r="B252" s="1"/>
      <c r="L252" s="72"/>
      <c r="S252" s="72"/>
      <c r="T252" s="72"/>
      <c r="U252" s="81"/>
      <c r="V252" s="81"/>
      <c r="AA252" s="2"/>
    </row>
    <row r="253" ht="12.75" customHeight="1">
      <c r="A253" s="1"/>
      <c r="B253" s="1"/>
      <c r="L253" s="72"/>
      <c r="S253" s="72"/>
      <c r="T253" s="72"/>
      <c r="U253" s="81"/>
      <c r="V253" s="81"/>
      <c r="AA253" s="2"/>
    </row>
    <row r="254" ht="12.75" customHeight="1">
      <c r="A254" s="1"/>
      <c r="B254" s="1"/>
      <c r="L254" s="72"/>
      <c r="S254" s="72"/>
      <c r="T254" s="72"/>
      <c r="U254" s="81"/>
      <c r="V254" s="81"/>
      <c r="AA254" s="2"/>
    </row>
    <row r="255" ht="12.75" customHeight="1">
      <c r="A255" s="1"/>
      <c r="B255" s="1"/>
      <c r="L255" s="72"/>
      <c r="S255" s="72"/>
      <c r="T255" s="72"/>
      <c r="U255" s="81"/>
      <c r="V255" s="81"/>
      <c r="AA255" s="2"/>
    </row>
    <row r="256" ht="12.75" customHeight="1">
      <c r="A256" s="1"/>
      <c r="B256" s="1"/>
      <c r="L256" s="72"/>
      <c r="S256" s="72"/>
      <c r="T256" s="72"/>
      <c r="U256" s="81"/>
      <c r="V256" s="81"/>
      <c r="AA256" s="2"/>
    </row>
    <row r="257" ht="12.75" customHeight="1">
      <c r="A257" s="1"/>
      <c r="B257" s="1"/>
      <c r="L257" s="72"/>
      <c r="S257" s="72"/>
      <c r="T257" s="72"/>
      <c r="U257" s="81"/>
      <c r="V257" s="81"/>
      <c r="AA257" s="2"/>
    </row>
    <row r="258" ht="12.75" customHeight="1">
      <c r="A258" s="1"/>
      <c r="B258" s="1"/>
      <c r="L258" s="72"/>
      <c r="S258" s="72"/>
      <c r="T258" s="72"/>
      <c r="U258" s="81"/>
      <c r="V258" s="81"/>
      <c r="AA258" s="2"/>
    </row>
    <row r="259" ht="12.75" customHeight="1">
      <c r="A259" s="1"/>
      <c r="B259" s="1"/>
      <c r="L259" s="72"/>
      <c r="S259" s="72"/>
      <c r="T259" s="72"/>
      <c r="U259" s="81"/>
      <c r="V259" s="81"/>
      <c r="AA259" s="2"/>
    </row>
    <row r="260" ht="12.75" customHeight="1">
      <c r="A260" s="1"/>
      <c r="B260" s="1"/>
      <c r="L260" s="72"/>
      <c r="S260" s="72"/>
      <c r="T260" s="72"/>
      <c r="U260" s="81"/>
      <c r="V260" s="81"/>
      <c r="AA260" s="2"/>
    </row>
    <row r="261" ht="12.75" customHeight="1">
      <c r="A261" s="1"/>
      <c r="B261" s="1"/>
      <c r="L261" s="72"/>
      <c r="S261" s="72"/>
      <c r="T261" s="72"/>
      <c r="U261" s="81"/>
      <c r="V261" s="81"/>
      <c r="AA261" s="2"/>
    </row>
    <row r="262" ht="12.75" customHeight="1">
      <c r="A262" s="1"/>
      <c r="B262" s="1"/>
      <c r="L262" s="72"/>
      <c r="S262" s="72"/>
      <c r="T262" s="72"/>
      <c r="U262" s="81"/>
      <c r="V262" s="81"/>
      <c r="AA262" s="2"/>
    </row>
    <row r="263" ht="12.75" customHeight="1">
      <c r="A263" s="1"/>
      <c r="B263" s="1"/>
      <c r="L263" s="72"/>
      <c r="S263" s="72"/>
      <c r="T263" s="72"/>
      <c r="U263" s="81"/>
      <c r="V263" s="81"/>
      <c r="AA263" s="2"/>
    </row>
    <row r="264" ht="12.75" customHeight="1">
      <c r="A264" s="1"/>
      <c r="B264" s="1"/>
      <c r="L264" s="72"/>
      <c r="S264" s="72"/>
      <c r="T264" s="72"/>
      <c r="U264" s="81"/>
      <c r="V264" s="81"/>
      <c r="AA264" s="2"/>
    </row>
    <row r="265" ht="12.75" customHeight="1">
      <c r="A265" s="1"/>
      <c r="B265" s="1"/>
      <c r="L265" s="72"/>
      <c r="S265" s="72"/>
      <c r="T265" s="72"/>
      <c r="U265" s="81"/>
      <c r="V265" s="81"/>
      <c r="AA265" s="2"/>
    </row>
    <row r="266" ht="12.75" customHeight="1">
      <c r="A266" s="1"/>
      <c r="B266" s="1"/>
      <c r="L266" s="72"/>
      <c r="S266" s="72"/>
      <c r="T266" s="72"/>
      <c r="U266" s="81"/>
      <c r="V266" s="81"/>
      <c r="AA266" s="2"/>
    </row>
    <row r="267" ht="12.75" customHeight="1">
      <c r="A267" s="1"/>
      <c r="B267" s="1"/>
      <c r="L267" s="72"/>
      <c r="S267" s="72"/>
      <c r="T267" s="72"/>
      <c r="U267" s="81"/>
      <c r="V267" s="81"/>
      <c r="AA267" s="2"/>
    </row>
    <row r="268" ht="12.75" customHeight="1">
      <c r="A268" s="1"/>
      <c r="B268" s="1"/>
      <c r="L268" s="72"/>
      <c r="S268" s="72"/>
      <c r="T268" s="72"/>
      <c r="U268" s="81"/>
      <c r="V268" s="81"/>
      <c r="AA268" s="2"/>
    </row>
    <row r="269" ht="12.75" customHeight="1">
      <c r="A269" s="1"/>
      <c r="B269" s="1"/>
      <c r="L269" s="72"/>
      <c r="S269" s="72"/>
      <c r="T269" s="72"/>
      <c r="U269" s="81"/>
      <c r="V269" s="81"/>
      <c r="AA269" s="2"/>
    </row>
    <row r="270" ht="12.75" customHeight="1">
      <c r="A270" s="1"/>
      <c r="B270" s="1"/>
      <c r="L270" s="72"/>
      <c r="S270" s="72"/>
      <c r="T270" s="72"/>
      <c r="U270" s="81"/>
      <c r="V270" s="81"/>
      <c r="AA270" s="2"/>
    </row>
    <row r="271" ht="12.75" customHeight="1">
      <c r="A271" s="1"/>
      <c r="B271" s="1"/>
      <c r="L271" s="72"/>
      <c r="S271" s="72"/>
      <c r="T271" s="72"/>
      <c r="U271" s="81"/>
      <c r="V271" s="81"/>
      <c r="AA271" s="2"/>
    </row>
    <row r="272" ht="12.75" customHeight="1">
      <c r="A272" s="1"/>
      <c r="B272" s="1"/>
      <c r="L272" s="72"/>
      <c r="S272" s="72"/>
      <c r="T272" s="72"/>
      <c r="U272" s="81"/>
      <c r="V272" s="81"/>
      <c r="AA272" s="2"/>
    </row>
    <row r="273" ht="12.75" customHeight="1">
      <c r="A273" s="1"/>
      <c r="B273" s="1"/>
      <c r="L273" s="72"/>
      <c r="S273" s="72"/>
      <c r="T273" s="72"/>
      <c r="U273" s="81"/>
      <c r="V273" s="81"/>
      <c r="AA273" s="2"/>
    </row>
    <row r="274" ht="12.75" customHeight="1">
      <c r="A274" s="1"/>
      <c r="B274" s="1"/>
      <c r="L274" s="72"/>
      <c r="S274" s="72"/>
      <c r="T274" s="72"/>
      <c r="U274" s="81"/>
      <c r="V274" s="81"/>
      <c r="AA274" s="2"/>
    </row>
    <row r="275" ht="12.75" customHeight="1">
      <c r="A275" s="1"/>
      <c r="B275" s="1"/>
      <c r="L275" s="72"/>
      <c r="S275" s="72"/>
      <c r="T275" s="72"/>
      <c r="U275" s="81"/>
      <c r="V275" s="81"/>
      <c r="AA275" s="2"/>
    </row>
    <row r="276" ht="12.75" customHeight="1">
      <c r="A276" s="1"/>
      <c r="B276" s="1"/>
      <c r="L276" s="72"/>
      <c r="S276" s="72"/>
      <c r="T276" s="72"/>
      <c r="U276" s="81"/>
      <c r="V276" s="81"/>
      <c r="AA276" s="2"/>
    </row>
    <row r="277" ht="12.75" customHeight="1">
      <c r="A277" s="1"/>
      <c r="B277" s="1"/>
      <c r="L277" s="72"/>
      <c r="S277" s="72"/>
      <c r="T277" s="72"/>
      <c r="U277" s="81"/>
      <c r="V277" s="81"/>
      <c r="AA277" s="2"/>
    </row>
    <row r="278" ht="12.75" customHeight="1">
      <c r="A278" s="1"/>
      <c r="B278" s="1"/>
      <c r="L278" s="72"/>
      <c r="S278" s="72"/>
      <c r="T278" s="72"/>
      <c r="U278" s="81"/>
      <c r="V278" s="81"/>
      <c r="AA278" s="2"/>
    </row>
    <row r="279" ht="12.75" customHeight="1">
      <c r="A279" s="1"/>
      <c r="B279" s="1"/>
      <c r="L279" s="72"/>
      <c r="S279" s="72"/>
      <c r="T279" s="72"/>
      <c r="U279" s="81"/>
      <c r="V279" s="81"/>
      <c r="AA279" s="2"/>
    </row>
    <row r="280" ht="12.75" customHeight="1">
      <c r="A280" s="1"/>
      <c r="B280" s="1"/>
      <c r="L280" s="72"/>
      <c r="S280" s="72"/>
      <c r="T280" s="72"/>
      <c r="U280" s="81"/>
      <c r="V280" s="81"/>
      <c r="AA280" s="2"/>
    </row>
    <row r="281" ht="12.75" customHeight="1">
      <c r="A281" s="1"/>
      <c r="B281" s="1"/>
      <c r="L281" s="72"/>
      <c r="S281" s="72"/>
      <c r="T281" s="72"/>
      <c r="U281" s="81"/>
      <c r="V281" s="81"/>
      <c r="AA281" s="2"/>
    </row>
    <row r="282" ht="12.75" customHeight="1">
      <c r="A282" s="1"/>
      <c r="B282" s="1"/>
      <c r="L282" s="72"/>
      <c r="S282" s="72"/>
      <c r="T282" s="72"/>
      <c r="U282" s="81"/>
      <c r="V282" s="81"/>
      <c r="AA282" s="2"/>
    </row>
    <row r="283" ht="12.75" customHeight="1">
      <c r="A283" s="1"/>
      <c r="B283" s="1"/>
      <c r="L283" s="72"/>
      <c r="S283" s="72"/>
      <c r="T283" s="72"/>
      <c r="U283" s="81"/>
      <c r="V283" s="81"/>
      <c r="AA283" s="2"/>
    </row>
    <row r="284" ht="12.75" customHeight="1">
      <c r="A284" s="1"/>
      <c r="B284" s="1"/>
      <c r="L284" s="72"/>
      <c r="S284" s="72"/>
      <c r="T284" s="72"/>
      <c r="U284" s="81"/>
      <c r="V284" s="81"/>
      <c r="AA284" s="2"/>
    </row>
    <row r="285" ht="12.75" customHeight="1">
      <c r="A285" s="1"/>
      <c r="B285" s="1"/>
      <c r="L285" s="72"/>
      <c r="S285" s="72"/>
      <c r="T285" s="72"/>
      <c r="U285" s="81"/>
      <c r="V285" s="81"/>
      <c r="AA285" s="2"/>
    </row>
    <row r="286" ht="12.75" customHeight="1">
      <c r="A286" s="1"/>
      <c r="B286" s="1"/>
      <c r="L286" s="72"/>
      <c r="S286" s="72"/>
      <c r="T286" s="72"/>
      <c r="U286" s="81"/>
      <c r="V286" s="81"/>
      <c r="AA286" s="2"/>
    </row>
    <row r="287" ht="12.75" customHeight="1">
      <c r="A287" s="1"/>
      <c r="B287" s="1"/>
      <c r="L287" s="72"/>
      <c r="S287" s="72"/>
      <c r="T287" s="72"/>
      <c r="U287" s="81"/>
      <c r="V287" s="81"/>
      <c r="AA287" s="2"/>
    </row>
    <row r="288" ht="12.75" customHeight="1">
      <c r="A288" s="1"/>
      <c r="B288" s="1"/>
      <c r="L288" s="72"/>
      <c r="S288" s="72"/>
      <c r="T288" s="72"/>
      <c r="U288" s="81"/>
      <c r="V288" s="81"/>
      <c r="AA288" s="2"/>
    </row>
    <row r="289" ht="12.75" customHeight="1">
      <c r="A289" s="1"/>
      <c r="B289" s="1"/>
      <c r="L289" s="72"/>
      <c r="S289" s="72"/>
      <c r="T289" s="72"/>
      <c r="U289" s="81"/>
      <c r="V289" s="81"/>
      <c r="AA289" s="2"/>
    </row>
    <row r="290" ht="12.75" customHeight="1">
      <c r="A290" s="1"/>
      <c r="B290" s="1"/>
      <c r="L290" s="72"/>
      <c r="S290" s="72"/>
      <c r="T290" s="72"/>
      <c r="U290" s="81"/>
      <c r="V290" s="81"/>
      <c r="AA290" s="2"/>
    </row>
    <row r="291" ht="12.75" customHeight="1">
      <c r="A291" s="1"/>
      <c r="B291" s="1"/>
      <c r="L291" s="72"/>
      <c r="S291" s="72"/>
      <c r="T291" s="72"/>
      <c r="U291" s="81"/>
      <c r="V291" s="81"/>
      <c r="AA291" s="2"/>
    </row>
    <row r="292" ht="12.75" customHeight="1">
      <c r="A292" s="1"/>
      <c r="B292" s="1"/>
      <c r="L292" s="72"/>
      <c r="S292" s="72"/>
      <c r="T292" s="72"/>
      <c r="U292" s="81"/>
      <c r="V292" s="81"/>
      <c r="AA292" s="2"/>
    </row>
    <row r="293" ht="12.75" customHeight="1">
      <c r="A293" s="1"/>
      <c r="B293" s="1"/>
      <c r="L293" s="72"/>
      <c r="S293" s="72"/>
      <c r="T293" s="72"/>
      <c r="U293" s="81"/>
      <c r="V293" s="81"/>
      <c r="AA293" s="2"/>
    </row>
    <row r="294" ht="12.75" customHeight="1">
      <c r="A294" s="1"/>
      <c r="B294" s="1"/>
      <c r="L294" s="72"/>
      <c r="S294" s="72"/>
      <c r="T294" s="72"/>
      <c r="U294" s="81"/>
      <c r="V294" s="81"/>
      <c r="AA294" s="2"/>
    </row>
    <row r="295" ht="12.75" customHeight="1">
      <c r="A295" s="1"/>
      <c r="B295" s="1"/>
      <c r="L295" s="72"/>
      <c r="S295" s="72"/>
      <c r="T295" s="72"/>
      <c r="U295" s="81"/>
      <c r="V295" s="81"/>
      <c r="AA295" s="2"/>
    </row>
    <row r="296" ht="12.75" customHeight="1">
      <c r="A296" s="1"/>
      <c r="B296" s="1"/>
      <c r="L296" s="72"/>
      <c r="S296" s="72"/>
      <c r="T296" s="72"/>
      <c r="U296" s="81"/>
      <c r="V296" s="81"/>
      <c r="AA296" s="2"/>
    </row>
    <row r="297" ht="12.75" customHeight="1">
      <c r="A297" s="1"/>
      <c r="B297" s="1"/>
      <c r="L297" s="72"/>
      <c r="S297" s="72"/>
      <c r="T297" s="72"/>
      <c r="U297" s="81"/>
      <c r="V297" s="81"/>
      <c r="AA297" s="2"/>
    </row>
    <row r="298" ht="12.75" customHeight="1">
      <c r="A298" s="1"/>
      <c r="B298" s="1"/>
      <c r="L298" s="72"/>
      <c r="S298" s="72"/>
      <c r="T298" s="72"/>
      <c r="U298" s="81"/>
      <c r="V298" s="81"/>
      <c r="AA298" s="2"/>
    </row>
    <row r="299" ht="12.75" customHeight="1">
      <c r="A299" s="1"/>
      <c r="B299" s="1"/>
      <c r="L299" s="72"/>
      <c r="S299" s="72"/>
      <c r="T299" s="72"/>
      <c r="U299" s="81"/>
      <c r="V299" s="81"/>
      <c r="AA299" s="2"/>
    </row>
    <row r="300" ht="12.75" customHeight="1">
      <c r="A300" s="1"/>
      <c r="B300" s="1"/>
      <c r="L300" s="72"/>
      <c r="S300" s="72"/>
      <c r="T300" s="72"/>
      <c r="U300" s="81"/>
      <c r="V300" s="81"/>
      <c r="AA300" s="2"/>
    </row>
    <row r="301" ht="12.75" customHeight="1">
      <c r="A301" s="1"/>
      <c r="B301" s="1"/>
      <c r="L301" s="72"/>
      <c r="S301" s="72"/>
      <c r="T301" s="72"/>
      <c r="U301" s="81"/>
      <c r="V301" s="81"/>
      <c r="AA301" s="2"/>
    </row>
    <row r="302" ht="12.75" customHeight="1">
      <c r="A302" s="1"/>
      <c r="B302" s="1"/>
      <c r="L302" s="72"/>
      <c r="S302" s="72"/>
      <c r="T302" s="72"/>
      <c r="U302" s="81"/>
      <c r="V302" s="81"/>
      <c r="AA302" s="2"/>
    </row>
    <row r="303" ht="12.75" customHeight="1">
      <c r="A303" s="1"/>
      <c r="B303" s="1"/>
      <c r="L303" s="72"/>
      <c r="S303" s="72"/>
      <c r="T303" s="72"/>
      <c r="U303" s="81"/>
      <c r="V303" s="81"/>
      <c r="AA303" s="2"/>
    </row>
    <row r="304" ht="12.75" customHeight="1">
      <c r="A304" s="1"/>
      <c r="B304" s="1"/>
      <c r="L304" s="72"/>
      <c r="S304" s="72"/>
      <c r="T304" s="72"/>
      <c r="U304" s="81"/>
      <c r="V304" s="81"/>
      <c r="AA304" s="2"/>
    </row>
    <row r="305" ht="12.75" customHeight="1">
      <c r="A305" s="1"/>
      <c r="B305" s="1"/>
      <c r="L305" s="72"/>
      <c r="S305" s="72"/>
      <c r="T305" s="72"/>
      <c r="U305" s="81"/>
      <c r="V305" s="81"/>
      <c r="AA305" s="2"/>
    </row>
    <row r="306" ht="12.75" customHeight="1">
      <c r="A306" s="1"/>
      <c r="B306" s="1"/>
      <c r="L306" s="72"/>
      <c r="S306" s="72"/>
      <c r="T306" s="72"/>
      <c r="U306" s="81"/>
      <c r="V306" s="81"/>
      <c r="AA306" s="2"/>
    </row>
    <row r="307" ht="12.75" customHeight="1">
      <c r="A307" s="1"/>
      <c r="B307" s="1"/>
      <c r="L307" s="72"/>
      <c r="S307" s="72"/>
      <c r="T307" s="72"/>
      <c r="U307" s="81"/>
      <c r="V307" s="81"/>
      <c r="AA307" s="2"/>
    </row>
    <row r="308" ht="12.75" customHeight="1">
      <c r="A308" s="1"/>
      <c r="B308" s="1"/>
      <c r="L308" s="72"/>
      <c r="S308" s="72"/>
      <c r="T308" s="72"/>
      <c r="U308" s="81"/>
      <c r="V308" s="81"/>
      <c r="AA308" s="2"/>
    </row>
    <row r="309" ht="12.75" customHeight="1">
      <c r="A309" s="1"/>
      <c r="B309" s="1"/>
      <c r="L309" s="72"/>
      <c r="S309" s="72"/>
      <c r="T309" s="72"/>
      <c r="U309" s="81"/>
      <c r="V309" s="81"/>
      <c r="AA309" s="2"/>
    </row>
    <row r="310" ht="12.75" customHeight="1">
      <c r="A310" s="1"/>
      <c r="B310" s="1"/>
      <c r="L310" s="72"/>
      <c r="S310" s="72"/>
      <c r="T310" s="72"/>
      <c r="U310" s="81"/>
      <c r="V310" s="81"/>
      <c r="AA310" s="2"/>
    </row>
    <row r="311" ht="12.75" customHeight="1">
      <c r="A311" s="1"/>
      <c r="B311" s="1"/>
      <c r="L311" s="72"/>
      <c r="S311" s="72"/>
      <c r="T311" s="72"/>
      <c r="U311" s="81"/>
      <c r="V311" s="81"/>
      <c r="AA311" s="2"/>
    </row>
    <row r="312" ht="12.75" customHeight="1">
      <c r="A312" s="1"/>
      <c r="B312" s="1"/>
      <c r="L312" s="72"/>
      <c r="S312" s="72"/>
      <c r="T312" s="72"/>
      <c r="U312" s="81"/>
      <c r="V312" s="81"/>
      <c r="AA312" s="2"/>
    </row>
    <row r="313" ht="12.75" customHeight="1">
      <c r="A313" s="1"/>
      <c r="B313" s="1"/>
      <c r="L313" s="72"/>
      <c r="S313" s="72"/>
      <c r="T313" s="72"/>
      <c r="U313" s="81"/>
      <c r="V313" s="81"/>
      <c r="AA313" s="2"/>
    </row>
    <row r="314" ht="12.75" customHeight="1">
      <c r="A314" s="1"/>
      <c r="B314" s="1"/>
      <c r="L314" s="72"/>
      <c r="S314" s="72"/>
      <c r="T314" s="72"/>
      <c r="U314" s="81"/>
      <c r="V314" s="81"/>
      <c r="AA314" s="2"/>
    </row>
    <row r="315" ht="12.75" customHeight="1">
      <c r="A315" s="1"/>
      <c r="B315" s="1"/>
      <c r="L315" s="72"/>
      <c r="S315" s="72"/>
      <c r="T315" s="72"/>
      <c r="U315" s="81"/>
      <c r="V315" s="81"/>
      <c r="AA315" s="2"/>
    </row>
    <row r="316" ht="12.75" customHeight="1">
      <c r="A316" s="1"/>
      <c r="B316" s="1"/>
      <c r="L316" s="72"/>
      <c r="S316" s="72"/>
      <c r="T316" s="72"/>
      <c r="U316" s="81"/>
      <c r="V316" s="81"/>
      <c r="AA316" s="2"/>
    </row>
    <row r="317" ht="12.75" customHeight="1">
      <c r="A317" s="1"/>
      <c r="B317" s="1"/>
      <c r="L317" s="72"/>
      <c r="S317" s="72"/>
      <c r="T317" s="72"/>
      <c r="U317" s="81"/>
      <c r="V317" s="81"/>
      <c r="AA317" s="2"/>
    </row>
    <row r="318" ht="12.75" customHeight="1">
      <c r="A318" s="1"/>
      <c r="B318" s="1"/>
      <c r="L318" s="72"/>
      <c r="S318" s="72"/>
      <c r="T318" s="72"/>
      <c r="U318" s="81"/>
      <c r="V318" s="81"/>
      <c r="AA318" s="2"/>
    </row>
    <row r="319" ht="12.75" customHeight="1">
      <c r="A319" s="1"/>
      <c r="B319" s="1"/>
      <c r="L319" s="72"/>
      <c r="S319" s="72"/>
      <c r="T319" s="72"/>
      <c r="U319" s="81"/>
      <c r="V319" s="81"/>
      <c r="AA319" s="2"/>
    </row>
    <row r="320" ht="12.75" customHeight="1">
      <c r="A320" s="1"/>
      <c r="B320" s="1"/>
      <c r="L320" s="72"/>
      <c r="S320" s="72"/>
      <c r="T320" s="72"/>
      <c r="U320" s="81"/>
      <c r="V320" s="81"/>
      <c r="AA320" s="2"/>
    </row>
    <row r="321" ht="12.75" customHeight="1">
      <c r="A321" s="1"/>
      <c r="B321" s="1"/>
      <c r="L321" s="72"/>
      <c r="S321" s="72"/>
      <c r="T321" s="72"/>
      <c r="U321" s="81"/>
      <c r="V321" s="81"/>
      <c r="AA321" s="2"/>
    </row>
    <row r="322" ht="12.75" customHeight="1">
      <c r="A322" s="1"/>
      <c r="B322" s="1"/>
      <c r="L322" s="72"/>
      <c r="S322" s="72"/>
      <c r="T322" s="72"/>
      <c r="U322" s="81"/>
      <c r="V322" s="81"/>
      <c r="AA322" s="2"/>
    </row>
    <row r="323" ht="12.75" customHeight="1">
      <c r="A323" s="1"/>
      <c r="B323" s="1"/>
      <c r="L323" s="72"/>
      <c r="S323" s="72"/>
      <c r="T323" s="72"/>
      <c r="U323" s="81"/>
      <c r="V323" s="81"/>
      <c r="AA323" s="2"/>
    </row>
    <row r="324" ht="12.75" customHeight="1">
      <c r="A324" s="1"/>
      <c r="B324" s="1"/>
      <c r="L324" s="72"/>
      <c r="S324" s="72"/>
      <c r="T324" s="72"/>
      <c r="U324" s="81"/>
      <c r="V324" s="81"/>
      <c r="AA324" s="2"/>
    </row>
    <row r="325" ht="12.75" customHeight="1">
      <c r="A325" s="1"/>
      <c r="B325" s="1"/>
      <c r="L325" s="72"/>
      <c r="S325" s="72"/>
      <c r="T325" s="72"/>
      <c r="U325" s="81"/>
      <c r="V325" s="81"/>
      <c r="AA325" s="2"/>
    </row>
    <row r="326" ht="12.75" customHeight="1">
      <c r="A326" s="1"/>
      <c r="B326" s="1"/>
      <c r="L326" s="72"/>
      <c r="S326" s="72"/>
      <c r="T326" s="72"/>
      <c r="U326" s="81"/>
      <c r="V326" s="81"/>
      <c r="AA326" s="2"/>
    </row>
    <row r="327" ht="12.75" customHeight="1">
      <c r="A327" s="1"/>
      <c r="B327" s="1"/>
      <c r="L327" s="72"/>
      <c r="S327" s="72"/>
      <c r="T327" s="72"/>
      <c r="U327" s="81"/>
      <c r="V327" s="81"/>
      <c r="AA327" s="2"/>
    </row>
    <row r="328" ht="12.75" customHeight="1">
      <c r="A328" s="1"/>
      <c r="B328" s="1"/>
      <c r="L328" s="72"/>
      <c r="S328" s="72"/>
      <c r="T328" s="72"/>
      <c r="U328" s="81"/>
      <c r="V328" s="81"/>
      <c r="AA328" s="2"/>
    </row>
    <row r="329" ht="12.75" customHeight="1">
      <c r="A329" s="1"/>
      <c r="B329" s="1"/>
      <c r="L329" s="72"/>
      <c r="S329" s="72"/>
      <c r="T329" s="72"/>
      <c r="U329" s="81"/>
      <c r="V329" s="81"/>
      <c r="AA329" s="2"/>
    </row>
    <row r="330" ht="12.75" customHeight="1">
      <c r="A330" s="1"/>
      <c r="B330" s="1"/>
      <c r="L330" s="72"/>
      <c r="S330" s="72"/>
      <c r="T330" s="72"/>
      <c r="U330" s="81"/>
      <c r="V330" s="81"/>
      <c r="AA330" s="2"/>
    </row>
    <row r="331" ht="12.75" customHeight="1">
      <c r="A331" s="1"/>
      <c r="B331" s="1"/>
      <c r="L331" s="72"/>
      <c r="S331" s="72"/>
      <c r="T331" s="72"/>
      <c r="U331" s="81"/>
      <c r="V331" s="81"/>
      <c r="AA331" s="2"/>
    </row>
    <row r="332" ht="12.75" customHeight="1">
      <c r="A332" s="1"/>
      <c r="B332" s="1"/>
      <c r="L332" s="72"/>
      <c r="S332" s="72"/>
      <c r="T332" s="72"/>
      <c r="U332" s="81"/>
      <c r="V332" s="81"/>
      <c r="AA332" s="2"/>
    </row>
    <row r="333" ht="12.75" customHeight="1">
      <c r="A333" s="1"/>
      <c r="B333" s="1"/>
      <c r="L333" s="72"/>
      <c r="S333" s="72"/>
      <c r="T333" s="72"/>
      <c r="U333" s="81"/>
      <c r="V333" s="81"/>
      <c r="AA333" s="2"/>
    </row>
    <row r="334" ht="12.75" customHeight="1">
      <c r="A334" s="1"/>
      <c r="B334" s="1"/>
      <c r="L334" s="72"/>
      <c r="S334" s="72"/>
      <c r="T334" s="72"/>
      <c r="U334" s="81"/>
      <c r="V334" s="81"/>
      <c r="AA334" s="2"/>
    </row>
    <row r="335" ht="12.75" customHeight="1">
      <c r="A335" s="1"/>
      <c r="B335" s="1"/>
      <c r="L335" s="72"/>
      <c r="S335" s="72"/>
      <c r="T335" s="72"/>
      <c r="U335" s="81"/>
      <c r="V335" s="81"/>
      <c r="AA335" s="2"/>
    </row>
    <row r="336" ht="12.75" customHeight="1">
      <c r="A336" s="1"/>
      <c r="B336" s="1"/>
      <c r="L336" s="72"/>
      <c r="S336" s="72"/>
      <c r="T336" s="72"/>
      <c r="U336" s="81"/>
      <c r="V336" s="81"/>
      <c r="AA336" s="2"/>
    </row>
    <row r="337" ht="12.75" customHeight="1">
      <c r="A337" s="1"/>
      <c r="B337" s="1"/>
      <c r="L337" s="72"/>
      <c r="S337" s="72"/>
      <c r="T337" s="72"/>
      <c r="U337" s="81"/>
      <c r="V337" s="81"/>
      <c r="AA337" s="2"/>
    </row>
    <row r="338" ht="12.75" customHeight="1">
      <c r="A338" s="1"/>
      <c r="B338" s="1"/>
      <c r="L338" s="72"/>
      <c r="S338" s="72"/>
      <c r="T338" s="72"/>
      <c r="U338" s="81"/>
      <c r="V338" s="81"/>
      <c r="AA338" s="2"/>
    </row>
    <row r="339" ht="12.75" customHeight="1">
      <c r="A339" s="1"/>
      <c r="B339" s="1"/>
      <c r="L339" s="72"/>
      <c r="S339" s="72"/>
      <c r="T339" s="72"/>
      <c r="U339" s="81"/>
      <c r="V339" s="81"/>
      <c r="AA339" s="2"/>
    </row>
    <row r="340" ht="12.75" customHeight="1">
      <c r="A340" s="1"/>
      <c r="B340" s="1"/>
      <c r="L340" s="72"/>
      <c r="S340" s="72"/>
      <c r="T340" s="72"/>
      <c r="U340" s="81"/>
      <c r="V340" s="81"/>
      <c r="AA340" s="2"/>
    </row>
    <row r="341" ht="12.75" customHeight="1">
      <c r="A341" s="1"/>
      <c r="B341" s="1"/>
      <c r="L341" s="72"/>
      <c r="S341" s="72"/>
      <c r="T341" s="72"/>
      <c r="U341" s="81"/>
      <c r="V341" s="81"/>
      <c r="AA341" s="2"/>
    </row>
    <row r="342" ht="12.75" customHeight="1">
      <c r="A342" s="1"/>
      <c r="B342" s="1"/>
      <c r="L342" s="72"/>
      <c r="S342" s="72"/>
      <c r="T342" s="72"/>
      <c r="U342" s="81"/>
      <c r="V342" s="81"/>
      <c r="AA342" s="2"/>
    </row>
    <row r="343" ht="12.75" customHeight="1">
      <c r="A343" s="1"/>
      <c r="B343" s="1"/>
      <c r="L343" s="72"/>
      <c r="S343" s="72"/>
      <c r="T343" s="72"/>
      <c r="U343" s="81"/>
      <c r="V343" s="81"/>
      <c r="AA343" s="2"/>
    </row>
    <row r="344" ht="12.75" customHeight="1">
      <c r="A344" s="1"/>
      <c r="B344" s="1"/>
      <c r="L344" s="72"/>
      <c r="S344" s="72"/>
      <c r="T344" s="72"/>
      <c r="U344" s="81"/>
      <c r="V344" s="81"/>
      <c r="AA344" s="2"/>
    </row>
    <row r="345" ht="12.75" customHeight="1">
      <c r="A345" s="1"/>
      <c r="B345" s="1"/>
      <c r="L345" s="72"/>
      <c r="S345" s="72"/>
      <c r="T345" s="72"/>
      <c r="U345" s="81"/>
      <c r="V345" s="81"/>
      <c r="AA345" s="2"/>
    </row>
    <row r="346" ht="12.75" customHeight="1">
      <c r="A346" s="1"/>
      <c r="B346" s="1"/>
      <c r="L346" s="72"/>
      <c r="S346" s="72"/>
      <c r="T346" s="72"/>
      <c r="U346" s="81"/>
      <c r="V346" s="81"/>
      <c r="AA346" s="2"/>
    </row>
    <row r="347" ht="12.75" customHeight="1">
      <c r="A347" s="1"/>
      <c r="B347" s="1"/>
      <c r="L347" s="72"/>
      <c r="S347" s="72"/>
      <c r="T347" s="72"/>
      <c r="U347" s="81"/>
      <c r="V347" s="81"/>
      <c r="AA347" s="2"/>
    </row>
    <row r="348" ht="12.75" customHeight="1">
      <c r="A348" s="1"/>
      <c r="B348" s="1"/>
      <c r="L348" s="72"/>
      <c r="S348" s="72"/>
      <c r="T348" s="72"/>
      <c r="U348" s="81"/>
      <c r="V348" s="81"/>
      <c r="AA348" s="2"/>
    </row>
    <row r="349" ht="12.75" customHeight="1">
      <c r="A349" s="1"/>
      <c r="B349" s="1"/>
      <c r="L349" s="72"/>
      <c r="S349" s="72"/>
      <c r="T349" s="72"/>
      <c r="U349" s="81"/>
      <c r="V349" s="81"/>
      <c r="AA349" s="2"/>
    </row>
    <row r="350" ht="12.75" customHeight="1">
      <c r="A350" s="1"/>
      <c r="B350" s="1"/>
      <c r="L350" s="72"/>
      <c r="S350" s="72"/>
      <c r="T350" s="72"/>
      <c r="U350" s="81"/>
      <c r="V350" s="81"/>
      <c r="AA350" s="2"/>
    </row>
    <row r="351" ht="12.75" customHeight="1">
      <c r="A351" s="1"/>
      <c r="B351" s="1"/>
      <c r="L351" s="72"/>
      <c r="S351" s="72"/>
      <c r="T351" s="72"/>
      <c r="U351" s="81"/>
      <c r="V351" s="81"/>
      <c r="AA351" s="2"/>
    </row>
    <row r="352" ht="12.75" customHeight="1">
      <c r="A352" s="1"/>
      <c r="B352" s="1"/>
      <c r="L352" s="72"/>
      <c r="S352" s="72"/>
      <c r="T352" s="72"/>
      <c r="U352" s="81"/>
      <c r="V352" s="81"/>
      <c r="AA352" s="2"/>
    </row>
    <row r="353" ht="12.75" customHeight="1">
      <c r="A353" s="1"/>
      <c r="B353" s="1"/>
      <c r="L353" s="72"/>
      <c r="S353" s="72"/>
      <c r="T353" s="72"/>
      <c r="U353" s="81"/>
      <c r="V353" s="81"/>
      <c r="AA353" s="2"/>
    </row>
    <row r="354" ht="12.75" customHeight="1">
      <c r="A354" s="1"/>
      <c r="B354" s="1"/>
      <c r="L354" s="72"/>
      <c r="S354" s="72"/>
      <c r="T354" s="72"/>
      <c r="U354" s="81"/>
      <c r="V354" s="81"/>
      <c r="AA354" s="2"/>
    </row>
    <row r="355" ht="12.75" customHeight="1">
      <c r="A355" s="1"/>
      <c r="B355" s="1"/>
      <c r="L355" s="72"/>
      <c r="S355" s="72"/>
      <c r="T355" s="72"/>
      <c r="U355" s="81"/>
      <c r="V355" s="81"/>
      <c r="AA355" s="2"/>
    </row>
    <row r="356" ht="12.75" customHeight="1">
      <c r="A356" s="1"/>
      <c r="B356" s="1"/>
      <c r="L356" s="72"/>
      <c r="S356" s="72"/>
      <c r="T356" s="72"/>
      <c r="U356" s="81"/>
      <c r="V356" s="81"/>
      <c r="AA356" s="2"/>
    </row>
    <row r="357" ht="12.75" customHeight="1">
      <c r="A357" s="1"/>
      <c r="B357" s="1"/>
      <c r="L357" s="72"/>
      <c r="S357" s="72"/>
      <c r="T357" s="72"/>
      <c r="U357" s="81"/>
      <c r="V357" s="81"/>
      <c r="AA357" s="2"/>
    </row>
    <row r="358" ht="12.75" customHeight="1">
      <c r="A358" s="1"/>
      <c r="B358" s="1"/>
      <c r="L358" s="72"/>
      <c r="S358" s="72"/>
      <c r="T358" s="72"/>
      <c r="U358" s="81"/>
      <c r="V358" s="81"/>
      <c r="AA358" s="2"/>
    </row>
    <row r="359" ht="12.75" customHeight="1">
      <c r="A359" s="1"/>
      <c r="B359" s="1"/>
      <c r="L359" s="72"/>
      <c r="S359" s="72"/>
      <c r="T359" s="72"/>
      <c r="U359" s="81"/>
      <c r="V359" s="81"/>
      <c r="AA359" s="2"/>
    </row>
    <row r="360" ht="12.75" customHeight="1">
      <c r="A360" s="1"/>
      <c r="B360" s="1"/>
      <c r="L360" s="72"/>
      <c r="S360" s="72"/>
      <c r="T360" s="72"/>
      <c r="U360" s="81"/>
      <c r="V360" s="81"/>
      <c r="AA360" s="2"/>
    </row>
    <row r="361" ht="12.75" customHeight="1">
      <c r="A361" s="1"/>
      <c r="B361" s="1"/>
      <c r="L361" s="72"/>
      <c r="S361" s="72"/>
      <c r="T361" s="72"/>
      <c r="U361" s="81"/>
      <c r="V361" s="81"/>
      <c r="AA361" s="2"/>
    </row>
    <row r="362" ht="12.75" customHeight="1">
      <c r="A362" s="1"/>
      <c r="B362" s="1"/>
      <c r="L362" s="72"/>
      <c r="S362" s="72"/>
      <c r="T362" s="72"/>
      <c r="U362" s="81"/>
      <c r="V362" s="81"/>
      <c r="AA362" s="2"/>
    </row>
    <row r="363" ht="12.75" customHeight="1">
      <c r="A363" s="1"/>
      <c r="B363" s="1"/>
      <c r="L363" s="72"/>
      <c r="S363" s="72"/>
      <c r="T363" s="72"/>
      <c r="U363" s="81"/>
      <c r="V363" s="81"/>
      <c r="AA363" s="2"/>
    </row>
    <row r="364" ht="12.75" customHeight="1">
      <c r="A364" s="1"/>
      <c r="B364" s="1"/>
      <c r="L364" s="72"/>
      <c r="S364" s="72"/>
      <c r="T364" s="72"/>
      <c r="U364" s="81"/>
      <c r="V364" s="81"/>
      <c r="AA364" s="2"/>
    </row>
    <row r="365" ht="12.75" customHeight="1">
      <c r="A365" s="1"/>
      <c r="B365" s="1"/>
      <c r="L365" s="72"/>
      <c r="S365" s="72"/>
      <c r="T365" s="72"/>
      <c r="U365" s="81"/>
      <c r="V365" s="81"/>
      <c r="AA365" s="2"/>
    </row>
    <row r="366" ht="12.75" customHeight="1">
      <c r="A366" s="1"/>
      <c r="B366" s="1"/>
      <c r="L366" s="72"/>
      <c r="S366" s="72"/>
      <c r="T366" s="72"/>
      <c r="U366" s="81"/>
      <c r="V366" s="81"/>
      <c r="AA366" s="2"/>
    </row>
    <row r="367" ht="12.75" customHeight="1">
      <c r="A367" s="1"/>
      <c r="B367" s="1"/>
      <c r="L367" s="72"/>
      <c r="S367" s="72"/>
      <c r="T367" s="72"/>
      <c r="U367" s="81"/>
      <c r="V367" s="81"/>
      <c r="AA367" s="2"/>
    </row>
    <row r="368" ht="12.75" customHeight="1">
      <c r="A368" s="1"/>
      <c r="B368" s="1"/>
      <c r="L368" s="72"/>
      <c r="S368" s="72"/>
      <c r="T368" s="72"/>
      <c r="U368" s="81"/>
      <c r="V368" s="81"/>
      <c r="AA368" s="2"/>
    </row>
    <row r="369" ht="12.75" customHeight="1">
      <c r="A369" s="1"/>
      <c r="B369" s="1"/>
      <c r="L369" s="72"/>
      <c r="S369" s="72"/>
      <c r="T369" s="72"/>
      <c r="U369" s="81"/>
      <c r="V369" s="81"/>
      <c r="AA369" s="2"/>
    </row>
    <row r="370" ht="12.75" customHeight="1">
      <c r="A370" s="1"/>
      <c r="B370" s="1"/>
      <c r="L370" s="72"/>
      <c r="S370" s="72"/>
      <c r="T370" s="72"/>
      <c r="U370" s="81"/>
      <c r="V370" s="81"/>
      <c r="AA370" s="2"/>
    </row>
    <row r="371" ht="12.75" customHeight="1">
      <c r="A371" s="1"/>
      <c r="B371" s="1"/>
      <c r="L371" s="72"/>
      <c r="S371" s="72"/>
      <c r="T371" s="72"/>
      <c r="U371" s="81"/>
      <c r="V371" s="81"/>
      <c r="AA371" s="2"/>
    </row>
    <row r="372" ht="12.75" customHeight="1">
      <c r="A372" s="1"/>
      <c r="B372" s="1"/>
      <c r="L372" s="72"/>
      <c r="S372" s="72"/>
      <c r="T372" s="72"/>
      <c r="U372" s="81"/>
      <c r="V372" s="81"/>
      <c r="AA372" s="2"/>
    </row>
    <row r="373" ht="12.75" customHeight="1">
      <c r="A373" s="1"/>
      <c r="B373" s="1"/>
      <c r="L373" s="72"/>
      <c r="S373" s="72"/>
      <c r="T373" s="72"/>
      <c r="U373" s="81"/>
      <c r="V373" s="81"/>
      <c r="AA373" s="2"/>
    </row>
    <row r="374" ht="12.75" customHeight="1">
      <c r="A374" s="1"/>
      <c r="B374" s="1"/>
      <c r="L374" s="72"/>
      <c r="S374" s="72"/>
      <c r="T374" s="72"/>
      <c r="U374" s="81"/>
      <c r="V374" s="81"/>
      <c r="AA374" s="2"/>
    </row>
    <row r="375" ht="12.75" customHeight="1">
      <c r="A375" s="1"/>
      <c r="B375" s="1"/>
      <c r="L375" s="72"/>
      <c r="S375" s="72"/>
      <c r="T375" s="72"/>
      <c r="U375" s="81"/>
      <c r="V375" s="81"/>
      <c r="AA375" s="2"/>
    </row>
    <row r="376" ht="12.75" customHeight="1">
      <c r="A376" s="1"/>
      <c r="B376" s="1"/>
      <c r="L376" s="72"/>
      <c r="S376" s="72"/>
      <c r="T376" s="72"/>
      <c r="U376" s="81"/>
      <c r="V376" s="81"/>
      <c r="AA376" s="2"/>
    </row>
    <row r="377" ht="12.75" customHeight="1">
      <c r="A377" s="1"/>
      <c r="B377" s="1"/>
      <c r="L377" s="72"/>
      <c r="S377" s="72"/>
      <c r="T377" s="72"/>
      <c r="U377" s="81"/>
      <c r="V377" s="81"/>
      <c r="AA377" s="2"/>
    </row>
    <row r="378" ht="12.75" customHeight="1">
      <c r="A378" s="1"/>
      <c r="B378" s="1"/>
      <c r="L378" s="72"/>
      <c r="S378" s="72"/>
      <c r="T378" s="72"/>
      <c r="U378" s="81"/>
      <c r="V378" s="81"/>
      <c r="AA378" s="2"/>
    </row>
    <row r="379" ht="12.75" customHeight="1">
      <c r="A379" s="1"/>
      <c r="B379" s="1"/>
      <c r="L379" s="72"/>
      <c r="S379" s="72"/>
      <c r="T379" s="72"/>
      <c r="U379" s="81"/>
      <c r="V379" s="81"/>
      <c r="AA379" s="2"/>
    </row>
    <row r="380" ht="12.75" customHeight="1">
      <c r="A380" s="1"/>
      <c r="B380" s="1"/>
      <c r="L380" s="72"/>
      <c r="S380" s="72"/>
      <c r="T380" s="72"/>
      <c r="U380" s="81"/>
      <c r="V380" s="81"/>
      <c r="AA380" s="2"/>
    </row>
    <row r="381" ht="12.75" customHeight="1">
      <c r="A381" s="1"/>
      <c r="B381" s="1"/>
      <c r="L381" s="72"/>
      <c r="S381" s="72"/>
      <c r="T381" s="72"/>
      <c r="U381" s="81"/>
      <c r="V381" s="81"/>
      <c r="AA381" s="2"/>
    </row>
    <row r="382" ht="12.75" customHeight="1">
      <c r="A382" s="1"/>
      <c r="B382" s="1"/>
      <c r="L382" s="72"/>
      <c r="S382" s="72"/>
      <c r="T382" s="72"/>
      <c r="U382" s="81"/>
      <c r="V382" s="81"/>
      <c r="AA382" s="2"/>
    </row>
    <row r="383" ht="12.75" customHeight="1">
      <c r="A383" s="1"/>
      <c r="B383" s="1"/>
      <c r="L383" s="72"/>
      <c r="S383" s="72"/>
      <c r="T383" s="72"/>
      <c r="U383" s="81"/>
      <c r="V383" s="81"/>
      <c r="AA383" s="2"/>
    </row>
    <row r="384" ht="12.75" customHeight="1">
      <c r="A384" s="1"/>
      <c r="B384" s="1"/>
      <c r="L384" s="72"/>
      <c r="S384" s="72"/>
      <c r="T384" s="72"/>
      <c r="U384" s="81"/>
      <c r="V384" s="81"/>
      <c r="AA384" s="2"/>
    </row>
    <row r="385" ht="12.75" customHeight="1">
      <c r="A385" s="1"/>
      <c r="B385" s="1"/>
      <c r="L385" s="72"/>
      <c r="S385" s="72"/>
      <c r="T385" s="72"/>
      <c r="U385" s="81"/>
      <c r="V385" s="81"/>
      <c r="AA385" s="2"/>
    </row>
    <row r="386" ht="12.75" customHeight="1">
      <c r="A386" s="1"/>
      <c r="B386" s="1"/>
      <c r="L386" s="72"/>
      <c r="S386" s="72"/>
      <c r="T386" s="72"/>
      <c r="U386" s="81"/>
      <c r="V386" s="81"/>
      <c r="AA386" s="2"/>
    </row>
    <row r="387" ht="12.75" customHeight="1">
      <c r="A387" s="1"/>
      <c r="B387" s="1"/>
      <c r="L387" s="72"/>
      <c r="S387" s="72"/>
      <c r="T387" s="72"/>
      <c r="U387" s="81"/>
      <c r="V387" s="81"/>
      <c r="AA387" s="2"/>
    </row>
    <row r="388" ht="12.75" customHeight="1">
      <c r="A388" s="1"/>
      <c r="B388" s="1"/>
      <c r="L388" s="72"/>
      <c r="S388" s="72"/>
      <c r="T388" s="72"/>
      <c r="U388" s="81"/>
      <c r="V388" s="81"/>
      <c r="AA388" s="2"/>
    </row>
    <row r="389" ht="12.75" customHeight="1">
      <c r="A389" s="1"/>
      <c r="B389" s="1"/>
      <c r="L389" s="72"/>
      <c r="S389" s="72"/>
      <c r="T389" s="72"/>
      <c r="U389" s="81"/>
      <c r="V389" s="81"/>
      <c r="AA389" s="2"/>
    </row>
    <row r="390" ht="12.75" customHeight="1">
      <c r="A390" s="1"/>
      <c r="B390" s="1"/>
      <c r="L390" s="72"/>
      <c r="S390" s="72"/>
      <c r="T390" s="72"/>
      <c r="U390" s="81"/>
      <c r="V390" s="81"/>
      <c r="AA390" s="2"/>
    </row>
    <row r="391" ht="12.75" customHeight="1">
      <c r="A391" s="1"/>
      <c r="B391" s="1"/>
      <c r="L391" s="72"/>
      <c r="S391" s="72"/>
      <c r="T391" s="72"/>
      <c r="U391" s="81"/>
      <c r="V391" s="81"/>
      <c r="AA391" s="2"/>
    </row>
    <row r="392" ht="12.75" customHeight="1">
      <c r="A392" s="1"/>
      <c r="B392" s="1"/>
      <c r="L392" s="72"/>
      <c r="S392" s="72"/>
      <c r="T392" s="72"/>
      <c r="U392" s="81"/>
      <c r="V392" s="81"/>
      <c r="AA392" s="2"/>
    </row>
    <row r="393" ht="12.75" customHeight="1">
      <c r="A393" s="1"/>
      <c r="B393" s="1"/>
      <c r="L393" s="72"/>
      <c r="S393" s="72"/>
      <c r="T393" s="72"/>
      <c r="U393" s="81"/>
      <c r="V393" s="81"/>
      <c r="AA393" s="2"/>
    </row>
    <row r="394" ht="12.75" customHeight="1">
      <c r="A394" s="1"/>
      <c r="B394" s="1"/>
      <c r="L394" s="72"/>
      <c r="S394" s="72"/>
      <c r="T394" s="72"/>
      <c r="U394" s="81"/>
      <c r="V394" s="81"/>
      <c r="AA394" s="2"/>
    </row>
    <row r="395" ht="12.75" customHeight="1">
      <c r="A395" s="1"/>
      <c r="B395" s="1"/>
      <c r="L395" s="72"/>
      <c r="S395" s="72"/>
      <c r="T395" s="72"/>
      <c r="U395" s="81"/>
      <c r="V395" s="81"/>
      <c r="AA395" s="2"/>
    </row>
    <row r="396" ht="12.75" customHeight="1">
      <c r="A396" s="1"/>
      <c r="B396" s="1"/>
      <c r="L396" s="72"/>
      <c r="S396" s="72"/>
      <c r="T396" s="72"/>
      <c r="U396" s="81"/>
      <c r="V396" s="81"/>
      <c r="AA396" s="2"/>
    </row>
    <row r="397" ht="12.75" customHeight="1">
      <c r="A397" s="1"/>
      <c r="B397" s="1"/>
      <c r="L397" s="72"/>
      <c r="S397" s="72"/>
      <c r="T397" s="72"/>
      <c r="U397" s="81"/>
      <c r="V397" s="81"/>
      <c r="AA397" s="2"/>
    </row>
    <row r="398" ht="12.75" customHeight="1">
      <c r="A398" s="1"/>
      <c r="B398" s="1"/>
      <c r="L398" s="72"/>
      <c r="S398" s="72"/>
      <c r="T398" s="72"/>
      <c r="U398" s="81"/>
      <c r="V398" s="81"/>
      <c r="AA398" s="2"/>
    </row>
    <row r="399" ht="12.75" customHeight="1">
      <c r="A399" s="1"/>
      <c r="B399" s="1"/>
      <c r="L399" s="72"/>
      <c r="S399" s="72"/>
      <c r="T399" s="72"/>
      <c r="U399" s="81"/>
      <c r="V399" s="81"/>
      <c r="AA399" s="2"/>
    </row>
    <row r="400" ht="12.75" customHeight="1">
      <c r="A400" s="1"/>
      <c r="B400" s="1"/>
      <c r="L400" s="72"/>
      <c r="S400" s="72"/>
      <c r="T400" s="72"/>
      <c r="U400" s="81"/>
      <c r="V400" s="81"/>
      <c r="AA400" s="2"/>
    </row>
    <row r="401" ht="12.75" customHeight="1">
      <c r="A401" s="1"/>
      <c r="B401" s="1"/>
      <c r="L401" s="72"/>
      <c r="S401" s="72"/>
      <c r="T401" s="72"/>
      <c r="U401" s="81"/>
      <c r="V401" s="81"/>
      <c r="AA401" s="2"/>
    </row>
    <row r="402" ht="12.75" customHeight="1">
      <c r="A402" s="1"/>
      <c r="B402" s="1"/>
      <c r="L402" s="72"/>
      <c r="S402" s="72"/>
      <c r="T402" s="72"/>
      <c r="U402" s="81"/>
      <c r="V402" s="81"/>
      <c r="AA402" s="2"/>
    </row>
    <row r="403" ht="12.75" customHeight="1">
      <c r="A403" s="1"/>
      <c r="B403" s="1"/>
      <c r="L403" s="72"/>
      <c r="S403" s="72"/>
      <c r="T403" s="72"/>
      <c r="U403" s="81"/>
      <c r="V403" s="81"/>
      <c r="AA403" s="2"/>
    </row>
    <row r="404" ht="12.75" customHeight="1">
      <c r="A404" s="1"/>
      <c r="B404" s="1"/>
      <c r="L404" s="72"/>
      <c r="S404" s="72"/>
      <c r="T404" s="72"/>
      <c r="U404" s="81"/>
      <c r="V404" s="81"/>
      <c r="AA404" s="2"/>
    </row>
    <row r="405" ht="12.75" customHeight="1">
      <c r="A405" s="1"/>
      <c r="B405" s="1"/>
      <c r="L405" s="72"/>
      <c r="S405" s="72"/>
      <c r="T405" s="72"/>
      <c r="U405" s="81"/>
      <c r="V405" s="81"/>
      <c r="AA405" s="2"/>
    </row>
    <row r="406" ht="12.75" customHeight="1">
      <c r="A406" s="1"/>
      <c r="B406" s="1"/>
      <c r="L406" s="72"/>
      <c r="S406" s="72"/>
      <c r="T406" s="72"/>
      <c r="U406" s="81"/>
      <c r="V406" s="81"/>
      <c r="AA406" s="2"/>
    </row>
    <row r="407" ht="12.75" customHeight="1">
      <c r="A407" s="1"/>
      <c r="B407" s="1"/>
      <c r="L407" s="72"/>
      <c r="S407" s="72"/>
      <c r="T407" s="72"/>
      <c r="U407" s="81"/>
      <c r="V407" s="81"/>
      <c r="AA407" s="2"/>
    </row>
    <row r="408" ht="12.75" customHeight="1">
      <c r="A408" s="1"/>
      <c r="B408" s="1"/>
      <c r="L408" s="72"/>
      <c r="S408" s="72"/>
      <c r="T408" s="72"/>
      <c r="U408" s="81"/>
      <c r="V408" s="81"/>
      <c r="AA408" s="2"/>
    </row>
    <row r="409" ht="12.75" customHeight="1">
      <c r="A409" s="1"/>
      <c r="B409" s="1"/>
      <c r="L409" s="72"/>
      <c r="S409" s="72"/>
      <c r="T409" s="72"/>
      <c r="U409" s="81"/>
      <c r="V409" s="81"/>
      <c r="AA409" s="2"/>
    </row>
    <row r="410" ht="12.75" customHeight="1">
      <c r="A410" s="1"/>
      <c r="B410" s="1"/>
      <c r="L410" s="72"/>
      <c r="S410" s="72"/>
      <c r="T410" s="72"/>
      <c r="U410" s="81"/>
      <c r="V410" s="81"/>
      <c r="AA410" s="2"/>
    </row>
    <row r="411" ht="12.75" customHeight="1">
      <c r="A411" s="1"/>
      <c r="B411" s="1"/>
      <c r="L411" s="72"/>
      <c r="S411" s="72"/>
      <c r="T411" s="72"/>
      <c r="U411" s="81"/>
      <c r="V411" s="81"/>
      <c r="AA411" s="2"/>
    </row>
    <row r="412" ht="12.75" customHeight="1">
      <c r="A412" s="1"/>
      <c r="B412" s="1"/>
      <c r="L412" s="72"/>
      <c r="S412" s="72"/>
      <c r="T412" s="72"/>
      <c r="U412" s="81"/>
      <c r="V412" s="81"/>
      <c r="AA412" s="2"/>
    </row>
    <row r="413" ht="12.75" customHeight="1">
      <c r="A413" s="1"/>
      <c r="B413" s="1"/>
      <c r="L413" s="72"/>
      <c r="S413" s="72"/>
      <c r="T413" s="72"/>
      <c r="U413" s="81"/>
      <c r="V413" s="81"/>
      <c r="AA413" s="2"/>
    </row>
    <row r="414" ht="12.75" customHeight="1">
      <c r="A414" s="1"/>
      <c r="B414" s="1"/>
      <c r="L414" s="72"/>
      <c r="S414" s="72"/>
      <c r="T414" s="72"/>
      <c r="U414" s="81"/>
      <c r="V414" s="81"/>
      <c r="AA414" s="2"/>
    </row>
    <row r="415" ht="12.75" customHeight="1">
      <c r="A415" s="1"/>
      <c r="B415" s="1"/>
      <c r="L415" s="72"/>
      <c r="S415" s="72"/>
      <c r="T415" s="72"/>
      <c r="U415" s="81"/>
      <c r="V415" s="81"/>
      <c r="AA415" s="2"/>
    </row>
    <row r="416" ht="12.75" customHeight="1">
      <c r="A416" s="1"/>
      <c r="B416" s="1"/>
      <c r="L416" s="72"/>
      <c r="S416" s="72"/>
      <c r="T416" s="72"/>
      <c r="U416" s="81"/>
      <c r="V416" s="81"/>
      <c r="AA416" s="2"/>
    </row>
    <row r="417" ht="12.75" customHeight="1">
      <c r="A417" s="1"/>
      <c r="B417" s="1"/>
      <c r="L417" s="72"/>
      <c r="S417" s="72"/>
      <c r="T417" s="72"/>
      <c r="U417" s="81"/>
      <c r="V417" s="81"/>
      <c r="AA417" s="2"/>
    </row>
    <row r="418" ht="12.75" customHeight="1">
      <c r="A418" s="1"/>
      <c r="B418" s="1"/>
      <c r="L418" s="72"/>
      <c r="S418" s="72"/>
      <c r="T418" s="72"/>
      <c r="U418" s="81"/>
      <c r="V418" s="81"/>
      <c r="AA418" s="2"/>
    </row>
    <row r="419" ht="12.75" customHeight="1">
      <c r="A419" s="1"/>
      <c r="B419" s="1"/>
      <c r="L419" s="72"/>
      <c r="S419" s="72"/>
      <c r="T419" s="72"/>
      <c r="U419" s="81"/>
      <c r="V419" s="81"/>
      <c r="AA419" s="2"/>
    </row>
    <row r="420" ht="12.75" customHeight="1">
      <c r="A420" s="1"/>
      <c r="B420" s="1"/>
      <c r="L420" s="72"/>
      <c r="S420" s="72"/>
      <c r="T420" s="72"/>
      <c r="U420" s="81"/>
      <c r="V420" s="81"/>
      <c r="AA420" s="2"/>
    </row>
    <row r="421" ht="12.75" customHeight="1">
      <c r="A421" s="1"/>
      <c r="B421" s="1"/>
      <c r="L421" s="72"/>
      <c r="S421" s="72"/>
      <c r="T421" s="72"/>
      <c r="U421" s="81"/>
      <c r="V421" s="81"/>
      <c r="AA421" s="2"/>
    </row>
    <row r="422" ht="12.75" customHeight="1">
      <c r="A422" s="1"/>
      <c r="B422" s="1"/>
      <c r="L422" s="72"/>
      <c r="S422" s="72"/>
      <c r="T422" s="72"/>
      <c r="U422" s="81"/>
      <c r="V422" s="81"/>
      <c r="AA422" s="2"/>
    </row>
    <row r="423" ht="12.75" customHeight="1">
      <c r="A423" s="1"/>
      <c r="B423" s="1"/>
      <c r="L423" s="72"/>
      <c r="S423" s="72"/>
      <c r="T423" s="72"/>
      <c r="U423" s="81"/>
      <c r="V423" s="81"/>
      <c r="AA423" s="2"/>
    </row>
    <row r="424" ht="12.75" customHeight="1">
      <c r="A424" s="1"/>
      <c r="B424" s="1"/>
      <c r="L424" s="72"/>
      <c r="S424" s="72"/>
      <c r="T424" s="72"/>
      <c r="U424" s="81"/>
      <c r="V424" s="81"/>
      <c r="AA424" s="2"/>
    </row>
    <row r="425" ht="12.75" customHeight="1">
      <c r="A425" s="1"/>
      <c r="B425" s="1"/>
      <c r="L425" s="72"/>
      <c r="S425" s="72"/>
      <c r="T425" s="72"/>
      <c r="U425" s="81"/>
      <c r="V425" s="81"/>
      <c r="AA425" s="2"/>
    </row>
    <row r="426" ht="12.75" customHeight="1">
      <c r="A426" s="1"/>
      <c r="B426" s="1"/>
      <c r="L426" s="72"/>
      <c r="S426" s="72"/>
      <c r="T426" s="72"/>
      <c r="U426" s="81"/>
      <c r="V426" s="81"/>
      <c r="AA426" s="2"/>
    </row>
    <row r="427" ht="12.75" customHeight="1">
      <c r="A427" s="1"/>
      <c r="B427" s="1"/>
      <c r="L427" s="72"/>
      <c r="S427" s="72"/>
      <c r="T427" s="72"/>
      <c r="U427" s="81"/>
      <c r="V427" s="81"/>
      <c r="AA427" s="2"/>
    </row>
    <row r="428" ht="12.75" customHeight="1">
      <c r="A428" s="1"/>
      <c r="B428" s="1"/>
      <c r="L428" s="72"/>
      <c r="S428" s="72"/>
      <c r="T428" s="72"/>
      <c r="U428" s="81"/>
      <c r="V428" s="81"/>
      <c r="AA428" s="2"/>
    </row>
    <row r="429" ht="12.75" customHeight="1">
      <c r="A429" s="1"/>
      <c r="B429" s="1"/>
      <c r="L429" s="72"/>
      <c r="S429" s="72"/>
      <c r="T429" s="72"/>
      <c r="U429" s="81"/>
      <c r="V429" s="81"/>
      <c r="AA429" s="2"/>
    </row>
    <row r="430" ht="12.75" customHeight="1">
      <c r="A430" s="1"/>
      <c r="B430" s="1"/>
      <c r="L430" s="72"/>
      <c r="S430" s="72"/>
      <c r="T430" s="72"/>
      <c r="U430" s="81"/>
      <c r="V430" s="81"/>
      <c r="AA430" s="2"/>
    </row>
    <row r="431" ht="12.75" customHeight="1">
      <c r="A431" s="1"/>
      <c r="B431" s="1"/>
      <c r="L431" s="72"/>
      <c r="S431" s="72"/>
      <c r="T431" s="72"/>
      <c r="U431" s="81"/>
      <c r="V431" s="81"/>
      <c r="AA431" s="2"/>
    </row>
    <row r="432" ht="12.75" customHeight="1">
      <c r="A432" s="1"/>
      <c r="B432" s="1"/>
      <c r="L432" s="72"/>
      <c r="S432" s="72"/>
      <c r="T432" s="72"/>
      <c r="U432" s="81"/>
      <c r="V432" s="81"/>
      <c r="AA432" s="2"/>
    </row>
    <row r="433" ht="12.75" customHeight="1">
      <c r="A433" s="1"/>
      <c r="B433" s="1"/>
      <c r="L433" s="72"/>
      <c r="S433" s="72"/>
      <c r="T433" s="72"/>
      <c r="U433" s="81"/>
      <c r="V433" s="81"/>
      <c r="AA433" s="2"/>
    </row>
    <row r="434" ht="12.75" customHeight="1">
      <c r="A434" s="1"/>
      <c r="B434" s="1"/>
      <c r="L434" s="72"/>
      <c r="S434" s="72"/>
      <c r="T434" s="72"/>
      <c r="U434" s="81"/>
      <c r="V434" s="81"/>
      <c r="AA434" s="2"/>
    </row>
    <row r="435" ht="12.75" customHeight="1">
      <c r="A435" s="1"/>
      <c r="B435" s="1"/>
      <c r="L435" s="72"/>
      <c r="S435" s="72"/>
      <c r="T435" s="72"/>
      <c r="U435" s="81"/>
      <c r="V435" s="81"/>
      <c r="AA435" s="2"/>
    </row>
    <row r="436" ht="12.75" customHeight="1">
      <c r="A436" s="1"/>
      <c r="B436" s="1"/>
      <c r="L436" s="72"/>
      <c r="S436" s="72"/>
      <c r="T436" s="72"/>
      <c r="U436" s="81"/>
      <c r="V436" s="81"/>
      <c r="AA436" s="2"/>
    </row>
    <row r="437" ht="12.75" customHeight="1">
      <c r="A437" s="1"/>
      <c r="B437" s="1"/>
      <c r="L437" s="72"/>
      <c r="S437" s="72"/>
      <c r="T437" s="72"/>
      <c r="U437" s="81"/>
      <c r="V437" s="81"/>
      <c r="AA437" s="2"/>
    </row>
    <row r="438" ht="12.75" customHeight="1">
      <c r="A438" s="1"/>
      <c r="B438" s="1"/>
      <c r="L438" s="72"/>
      <c r="S438" s="72"/>
      <c r="T438" s="72"/>
      <c r="U438" s="81"/>
      <c r="V438" s="81"/>
      <c r="AA438" s="2"/>
    </row>
    <row r="439" ht="12.75" customHeight="1">
      <c r="A439" s="1"/>
      <c r="B439" s="1"/>
      <c r="L439" s="72"/>
      <c r="S439" s="72"/>
      <c r="T439" s="72"/>
      <c r="U439" s="81"/>
      <c r="V439" s="81"/>
      <c r="AA439" s="2"/>
    </row>
    <row r="440" ht="12.75" customHeight="1">
      <c r="A440" s="1"/>
      <c r="B440" s="1"/>
      <c r="L440" s="72"/>
      <c r="S440" s="72"/>
      <c r="T440" s="72"/>
      <c r="U440" s="81"/>
      <c r="V440" s="81"/>
      <c r="AA440" s="2"/>
    </row>
    <row r="441" ht="12.75" customHeight="1">
      <c r="A441" s="1"/>
      <c r="B441" s="1"/>
      <c r="L441" s="72"/>
      <c r="S441" s="72"/>
      <c r="T441" s="72"/>
      <c r="U441" s="81"/>
      <c r="V441" s="81"/>
      <c r="AA441" s="2"/>
    </row>
    <row r="442" ht="12.75" customHeight="1">
      <c r="A442" s="1"/>
      <c r="B442" s="1"/>
      <c r="L442" s="72"/>
      <c r="S442" s="72"/>
      <c r="T442" s="72"/>
      <c r="U442" s="81"/>
      <c r="V442" s="81"/>
      <c r="AA442" s="2"/>
    </row>
    <row r="443" ht="12.75" customHeight="1">
      <c r="A443" s="1"/>
      <c r="B443" s="1"/>
      <c r="L443" s="72"/>
      <c r="S443" s="72"/>
      <c r="T443" s="72"/>
      <c r="U443" s="81"/>
      <c r="V443" s="81"/>
      <c r="AA443" s="2"/>
    </row>
    <row r="444" ht="12.75" customHeight="1">
      <c r="A444" s="1"/>
      <c r="B444" s="1"/>
      <c r="L444" s="72"/>
      <c r="S444" s="72"/>
      <c r="T444" s="72"/>
      <c r="U444" s="81"/>
      <c r="V444" s="81"/>
      <c r="AA444" s="2"/>
    </row>
    <row r="445" ht="12.75" customHeight="1">
      <c r="A445" s="1"/>
      <c r="B445" s="1"/>
      <c r="L445" s="72"/>
      <c r="S445" s="72"/>
      <c r="T445" s="72"/>
      <c r="U445" s="81"/>
      <c r="V445" s="81"/>
      <c r="AA445" s="2"/>
    </row>
    <row r="446" ht="12.75" customHeight="1">
      <c r="A446" s="1"/>
      <c r="B446" s="1"/>
      <c r="L446" s="72"/>
      <c r="S446" s="72"/>
      <c r="T446" s="72"/>
      <c r="U446" s="81"/>
      <c r="V446" s="81"/>
      <c r="AA446" s="2"/>
    </row>
    <row r="447" ht="12.75" customHeight="1">
      <c r="A447" s="1"/>
      <c r="B447" s="1"/>
      <c r="L447" s="72"/>
      <c r="S447" s="72"/>
      <c r="T447" s="72"/>
      <c r="U447" s="81"/>
      <c r="V447" s="81"/>
      <c r="AA447" s="2"/>
    </row>
    <row r="448" ht="12.75" customHeight="1">
      <c r="A448" s="1"/>
      <c r="B448" s="1"/>
      <c r="L448" s="72"/>
      <c r="S448" s="72"/>
      <c r="T448" s="72"/>
      <c r="U448" s="81"/>
      <c r="V448" s="81"/>
      <c r="AA448" s="2"/>
    </row>
    <row r="449" ht="12.75" customHeight="1">
      <c r="A449" s="1"/>
      <c r="B449" s="1"/>
      <c r="L449" s="72"/>
      <c r="S449" s="72"/>
      <c r="T449" s="72"/>
      <c r="U449" s="81"/>
      <c r="V449" s="81"/>
      <c r="AA449" s="2"/>
    </row>
    <row r="450" ht="12.75" customHeight="1">
      <c r="A450" s="1"/>
      <c r="B450" s="1"/>
      <c r="L450" s="72"/>
      <c r="S450" s="72"/>
      <c r="T450" s="72"/>
      <c r="U450" s="81"/>
      <c r="V450" s="81"/>
      <c r="AA450" s="2"/>
    </row>
    <row r="451" ht="12.75" customHeight="1">
      <c r="A451" s="1"/>
      <c r="B451" s="1"/>
      <c r="L451" s="72"/>
      <c r="S451" s="72"/>
      <c r="T451" s="72"/>
      <c r="U451" s="81"/>
      <c r="V451" s="81"/>
      <c r="AA451" s="2"/>
    </row>
    <row r="452" ht="12.75" customHeight="1">
      <c r="A452" s="1"/>
      <c r="B452" s="1"/>
      <c r="L452" s="72"/>
      <c r="S452" s="72"/>
      <c r="T452" s="72"/>
      <c r="U452" s="81"/>
      <c r="V452" s="81"/>
      <c r="AA452" s="2"/>
    </row>
    <row r="453" ht="12.75" customHeight="1">
      <c r="A453" s="1"/>
      <c r="B453" s="1"/>
      <c r="L453" s="72"/>
      <c r="S453" s="72"/>
      <c r="T453" s="72"/>
      <c r="U453" s="81"/>
      <c r="V453" s="81"/>
      <c r="AA453" s="2"/>
    </row>
    <row r="454" ht="12.75" customHeight="1">
      <c r="A454" s="1"/>
      <c r="B454" s="1"/>
      <c r="L454" s="72"/>
      <c r="S454" s="72"/>
      <c r="T454" s="72"/>
      <c r="U454" s="81"/>
      <c r="V454" s="81"/>
      <c r="AA454" s="2"/>
    </row>
    <row r="455" ht="12.75" customHeight="1">
      <c r="A455" s="1"/>
      <c r="B455" s="1"/>
      <c r="L455" s="72"/>
      <c r="S455" s="72"/>
      <c r="T455" s="72"/>
      <c r="U455" s="81"/>
      <c r="V455" s="81"/>
      <c r="AA455" s="2"/>
    </row>
    <row r="456" ht="12.75" customHeight="1">
      <c r="A456" s="1"/>
      <c r="B456" s="1"/>
      <c r="L456" s="72"/>
      <c r="S456" s="72"/>
      <c r="T456" s="72"/>
      <c r="U456" s="81"/>
      <c r="V456" s="81"/>
      <c r="AA456" s="2"/>
    </row>
    <row r="457" ht="12.75" customHeight="1">
      <c r="A457" s="1"/>
      <c r="B457" s="1"/>
      <c r="L457" s="72"/>
      <c r="S457" s="72"/>
      <c r="T457" s="72"/>
      <c r="U457" s="81"/>
      <c r="V457" s="81"/>
      <c r="AA457" s="2"/>
    </row>
    <row r="458" ht="12.75" customHeight="1">
      <c r="A458" s="1"/>
      <c r="B458" s="1"/>
      <c r="L458" s="72"/>
      <c r="S458" s="72"/>
      <c r="T458" s="72"/>
      <c r="U458" s="81"/>
      <c r="V458" s="81"/>
      <c r="AA458" s="2"/>
    </row>
    <row r="459" ht="12.75" customHeight="1">
      <c r="A459" s="1"/>
      <c r="B459" s="1"/>
      <c r="L459" s="72"/>
      <c r="S459" s="72"/>
      <c r="T459" s="72"/>
      <c r="U459" s="81"/>
      <c r="V459" s="81"/>
      <c r="AA459" s="2"/>
    </row>
    <row r="460" ht="12.75" customHeight="1">
      <c r="A460" s="1"/>
      <c r="B460" s="1"/>
      <c r="L460" s="72"/>
      <c r="S460" s="72"/>
      <c r="T460" s="72"/>
      <c r="U460" s="81"/>
      <c r="V460" s="81"/>
      <c r="AA460" s="2"/>
    </row>
    <row r="461" ht="12.75" customHeight="1">
      <c r="A461" s="1"/>
      <c r="B461" s="1"/>
      <c r="L461" s="72"/>
      <c r="S461" s="72"/>
      <c r="T461" s="72"/>
      <c r="U461" s="81"/>
      <c r="V461" s="81"/>
      <c r="AA461" s="2"/>
    </row>
    <row r="462" ht="12.75" customHeight="1">
      <c r="A462" s="1"/>
      <c r="B462" s="1"/>
      <c r="L462" s="72"/>
      <c r="S462" s="72"/>
      <c r="T462" s="72"/>
      <c r="U462" s="81"/>
      <c r="V462" s="81"/>
      <c r="AA462" s="2"/>
    </row>
    <row r="463" ht="12.75" customHeight="1">
      <c r="A463" s="1"/>
      <c r="B463" s="1"/>
      <c r="L463" s="72"/>
      <c r="S463" s="72"/>
      <c r="T463" s="72"/>
      <c r="U463" s="81"/>
      <c r="V463" s="81"/>
      <c r="AA463" s="2"/>
    </row>
    <row r="464" ht="12.75" customHeight="1">
      <c r="A464" s="1"/>
      <c r="B464" s="1"/>
      <c r="L464" s="72"/>
      <c r="S464" s="72"/>
      <c r="T464" s="72"/>
      <c r="U464" s="81"/>
      <c r="V464" s="81"/>
      <c r="AA464" s="2"/>
    </row>
    <row r="465" ht="12.75" customHeight="1">
      <c r="A465" s="1"/>
      <c r="B465" s="1"/>
      <c r="L465" s="72"/>
      <c r="S465" s="72"/>
      <c r="T465" s="72"/>
      <c r="U465" s="81"/>
      <c r="V465" s="81"/>
      <c r="AA465" s="2"/>
    </row>
    <row r="466" ht="12.75" customHeight="1">
      <c r="A466" s="1"/>
      <c r="B466" s="1"/>
      <c r="L466" s="72"/>
      <c r="S466" s="72"/>
      <c r="T466" s="72"/>
      <c r="U466" s="81"/>
      <c r="V466" s="81"/>
      <c r="AA466" s="2"/>
    </row>
    <row r="467" ht="12.75" customHeight="1">
      <c r="A467" s="1"/>
      <c r="B467" s="1"/>
      <c r="L467" s="72"/>
      <c r="S467" s="72"/>
      <c r="T467" s="72"/>
      <c r="U467" s="81"/>
      <c r="V467" s="81"/>
      <c r="AA467" s="2"/>
    </row>
    <row r="468" ht="12.75" customHeight="1">
      <c r="A468" s="1"/>
      <c r="B468" s="1"/>
      <c r="L468" s="72"/>
      <c r="S468" s="72"/>
      <c r="T468" s="72"/>
      <c r="U468" s="81"/>
      <c r="V468" s="81"/>
      <c r="AA468" s="2"/>
    </row>
    <row r="469" ht="12.75" customHeight="1">
      <c r="A469" s="1"/>
      <c r="B469" s="1"/>
      <c r="L469" s="72"/>
      <c r="S469" s="72"/>
      <c r="T469" s="72"/>
      <c r="U469" s="81"/>
      <c r="V469" s="81"/>
      <c r="AA469" s="2"/>
    </row>
    <row r="470" ht="12.75" customHeight="1">
      <c r="A470" s="1"/>
      <c r="B470" s="1"/>
      <c r="L470" s="72"/>
      <c r="S470" s="72"/>
      <c r="T470" s="72"/>
      <c r="U470" s="81"/>
      <c r="V470" s="81"/>
      <c r="AA470" s="2"/>
    </row>
    <row r="471" ht="12.75" customHeight="1">
      <c r="A471" s="1"/>
      <c r="B471" s="1"/>
      <c r="L471" s="72"/>
      <c r="S471" s="72"/>
      <c r="T471" s="72"/>
      <c r="U471" s="81"/>
      <c r="V471" s="81"/>
      <c r="AA471" s="2"/>
    </row>
    <row r="472" ht="12.75" customHeight="1">
      <c r="A472" s="1"/>
      <c r="B472" s="1"/>
      <c r="L472" s="72"/>
      <c r="S472" s="72"/>
      <c r="T472" s="72"/>
      <c r="U472" s="81"/>
      <c r="V472" s="81"/>
      <c r="AA472" s="2"/>
    </row>
    <row r="473" ht="12.75" customHeight="1">
      <c r="A473" s="1"/>
      <c r="B473" s="1"/>
      <c r="L473" s="72"/>
      <c r="S473" s="72"/>
      <c r="T473" s="72"/>
      <c r="U473" s="81"/>
      <c r="V473" s="81"/>
      <c r="AA473" s="2"/>
    </row>
    <row r="474" ht="12.75" customHeight="1">
      <c r="A474" s="1"/>
      <c r="B474" s="1"/>
      <c r="L474" s="72"/>
      <c r="S474" s="72"/>
      <c r="T474" s="72"/>
      <c r="U474" s="81"/>
      <c r="V474" s="81"/>
      <c r="AA474" s="2"/>
    </row>
    <row r="475" ht="12.75" customHeight="1">
      <c r="A475" s="1"/>
      <c r="B475" s="1"/>
      <c r="L475" s="72"/>
      <c r="S475" s="72"/>
      <c r="T475" s="72"/>
      <c r="U475" s="81"/>
      <c r="V475" s="81"/>
      <c r="AA475" s="2"/>
    </row>
    <row r="476" ht="12.75" customHeight="1">
      <c r="A476" s="1"/>
      <c r="B476" s="1"/>
      <c r="L476" s="72"/>
      <c r="S476" s="72"/>
      <c r="T476" s="72"/>
      <c r="U476" s="81"/>
      <c r="V476" s="81"/>
      <c r="AA476" s="2"/>
    </row>
    <row r="477" ht="12.75" customHeight="1">
      <c r="A477" s="1"/>
      <c r="B477" s="1"/>
      <c r="L477" s="72"/>
      <c r="S477" s="72"/>
      <c r="T477" s="72"/>
      <c r="U477" s="81"/>
      <c r="V477" s="81"/>
      <c r="AA477" s="2"/>
    </row>
    <row r="478" ht="12.75" customHeight="1">
      <c r="A478" s="1"/>
      <c r="B478" s="1"/>
      <c r="L478" s="72"/>
      <c r="S478" s="72"/>
      <c r="T478" s="72"/>
      <c r="U478" s="81"/>
      <c r="V478" s="81"/>
      <c r="AA478" s="2"/>
    </row>
    <row r="479" ht="12.75" customHeight="1">
      <c r="A479" s="1"/>
      <c r="B479" s="1"/>
      <c r="L479" s="72"/>
      <c r="S479" s="72"/>
      <c r="T479" s="72"/>
      <c r="U479" s="81"/>
      <c r="V479" s="81"/>
      <c r="AA479" s="2"/>
    </row>
    <row r="480" ht="12.75" customHeight="1">
      <c r="A480" s="1"/>
      <c r="B480" s="1"/>
      <c r="L480" s="72"/>
      <c r="S480" s="72"/>
      <c r="T480" s="72"/>
      <c r="U480" s="81"/>
      <c r="V480" s="81"/>
      <c r="AA480" s="2"/>
    </row>
    <row r="481" ht="12.75" customHeight="1">
      <c r="A481" s="1"/>
      <c r="B481" s="1"/>
      <c r="L481" s="72"/>
      <c r="S481" s="72"/>
      <c r="T481" s="72"/>
      <c r="U481" s="81"/>
      <c r="V481" s="81"/>
      <c r="AA481" s="2"/>
    </row>
    <row r="482" ht="12.75" customHeight="1">
      <c r="A482" s="1"/>
      <c r="B482" s="1"/>
      <c r="L482" s="72"/>
      <c r="S482" s="72"/>
      <c r="T482" s="72"/>
      <c r="U482" s="81"/>
      <c r="V482" s="81"/>
      <c r="AA482" s="2"/>
    </row>
    <row r="483" ht="12.75" customHeight="1">
      <c r="A483" s="1"/>
      <c r="B483" s="1"/>
      <c r="L483" s="72"/>
      <c r="S483" s="72"/>
      <c r="T483" s="72"/>
      <c r="U483" s="81"/>
      <c r="V483" s="81"/>
      <c r="AA483" s="2"/>
    </row>
    <row r="484" ht="12.75" customHeight="1">
      <c r="A484" s="1"/>
      <c r="B484" s="1"/>
      <c r="L484" s="72"/>
      <c r="S484" s="72"/>
      <c r="T484" s="72"/>
      <c r="U484" s="81"/>
      <c r="V484" s="81"/>
      <c r="AA484" s="2"/>
    </row>
    <row r="485" ht="12.75" customHeight="1">
      <c r="A485" s="1"/>
      <c r="B485" s="1"/>
      <c r="L485" s="72"/>
      <c r="S485" s="72"/>
      <c r="T485" s="72"/>
      <c r="U485" s="81"/>
      <c r="V485" s="81"/>
      <c r="AA485" s="2"/>
    </row>
    <row r="486" ht="12.75" customHeight="1">
      <c r="A486" s="1"/>
      <c r="B486" s="1"/>
      <c r="L486" s="72"/>
      <c r="S486" s="72"/>
      <c r="T486" s="72"/>
      <c r="U486" s="81"/>
      <c r="V486" s="81"/>
      <c r="AA486" s="2"/>
    </row>
    <row r="487" ht="12.75" customHeight="1">
      <c r="A487" s="1"/>
      <c r="B487" s="1"/>
      <c r="L487" s="72"/>
      <c r="S487" s="72"/>
      <c r="T487" s="72"/>
      <c r="U487" s="81"/>
      <c r="V487" s="81"/>
      <c r="AA487" s="2"/>
    </row>
    <row r="488" ht="12.75" customHeight="1">
      <c r="A488" s="1"/>
      <c r="B488" s="1"/>
      <c r="L488" s="72"/>
      <c r="S488" s="72"/>
      <c r="T488" s="72"/>
      <c r="U488" s="81"/>
      <c r="V488" s="81"/>
      <c r="AA488" s="2"/>
    </row>
    <row r="489" ht="12.75" customHeight="1">
      <c r="A489" s="1"/>
      <c r="B489" s="1"/>
      <c r="L489" s="72"/>
      <c r="S489" s="72"/>
      <c r="T489" s="72"/>
      <c r="U489" s="81"/>
      <c r="V489" s="81"/>
      <c r="AA489" s="2"/>
    </row>
    <row r="490" ht="12.75" customHeight="1">
      <c r="A490" s="1"/>
      <c r="B490" s="1"/>
      <c r="L490" s="72"/>
      <c r="S490" s="72"/>
      <c r="T490" s="72"/>
      <c r="U490" s="81"/>
      <c r="V490" s="81"/>
      <c r="AA490" s="2"/>
    </row>
    <row r="491" ht="12.75" customHeight="1">
      <c r="A491" s="1"/>
      <c r="B491" s="1"/>
      <c r="L491" s="72"/>
      <c r="S491" s="72"/>
      <c r="T491" s="72"/>
      <c r="U491" s="81"/>
      <c r="V491" s="81"/>
      <c r="AA491" s="2"/>
    </row>
    <row r="492" ht="12.75" customHeight="1">
      <c r="A492" s="1"/>
      <c r="B492" s="1"/>
      <c r="L492" s="72"/>
      <c r="S492" s="72"/>
      <c r="T492" s="72"/>
      <c r="U492" s="81"/>
      <c r="V492" s="81"/>
      <c r="AA492" s="2"/>
    </row>
    <row r="493" ht="12.75" customHeight="1">
      <c r="A493" s="1"/>
      <c r="B493" s="1"/>
      <c r="L493" s="72"/>
      <c r="S493" s="72"/>
      <c r="T493" s="72"/>
      <c r="U493" s="81"/>
      <c r="V493" s="81"/>
      <c r="AA493" s="2"/>
    </row>
    <row r="494" ht="12.75" customHeight="1">
      <c r="A494" s="1"/>
      <c r="B494" s="1"/>
      <c r="L494" s="72"/>
      <c r="S494" s="72"/>
      <c r="T494" s="72"/>
      <c r="U494" s="81"/>
      <c r="V494" s="81"/>
      <c r="AA494" s="2"/>
    </row>
    <row r="495" ht="12.75" customHeight="1">
      <c r="A495" s="1"/>
      <c r="B495" s="1"/>
      <c r="L495" s="72"/>
      <c r="S495" s="72"/>
      <c r="T495" s="72"/>
      <c r="U495" s="81"/>
      <c r="V495" s="81"/>
      <c r="AA495" s="2"/>
    </row>
    <row r="496" ht="12.75" customHeight="1">
      <c r="A496" s="1"/>
      <c r="B496" s="1"/>
      <c r="L496" s="72"/>
      <c r="S496" s="72"/>
      <c r="T496" s="72"/>
      <c r="U496" s="81"/>
      <c r="V496" s="81"/>
      <c r="AA496" s="2"/>
    </row>
    <row r="497" ht="12.75" customHeight="1">
      <c r="A497" s="1"/>
      <c r="B497" s="1"/>
      <c r="L497" s="72"/>
      <c r="S497" s="72"/>
      <c r="T497" s="72"/>
      <c r="U497" s="81"/>
      <c r="V497" s="81"/>
      <c r="AA497" s="2"/>
    </row>
    <row r="498" ht="12.75" customHeight="1">
      <c r="A498" s="1"/>
      <c r="B498" s="1"/>
      <c r="L498" s="72"/>
      <c r="S498" s="72"/>
      <c r="T498" s="72"/>
      <c r="U498" s="81"/>
      <c r="V498" s="81"/>
      <c r="AA498" s="2"/>
    </row>
    <row r="499" ht="12.75" customHeight="1">
      <c r="A499" s="1"/>
      <c r="B499" s="1"/>
      <c r="L499" s="72"/>
      <c r="S499" s="72"/>
      <c r="T499" s="72"/>
      <c r="U499" s="81"/>
      <c r="V499" s="81"/>
      <c r="AA499" s="2"/>
    </row>
    <row r="500" ht="12.75" customHeight="1">
      <c r="A500" s="1"/>
      <c r="B500" s="1"/>
      <c r="L500" s="72"/>
      <c r="S500" s="72"/>
      <c r="T500" s="72"/>
      <c r="U500" s="81"/>
      <c r="V500" s="81"/>
      <c r="AA500" s="2"/>
    </row>
    <row r="501" ht="12.75" customHeight="1">
      <c r="A501" s="1"/>
      <c r="B501" s="1"/>
      <c r="L501" s="72"/>
      <c r="S501" s="72"/>
      <c r="T501" s="72"/>
      <c r="U501" s="81"/>
      <c r="V501" s="81"/>
      <c r="AA501" s="2"/>
    </row>
    <row r="502" ht="12.75" customHeight="1">
      <c r="A502" s="1"/>
      <c r="B502" s="1"/>
      <c r="L502" s="72"/>
      <c r="S502" s="72"/>
      <c r="T502" s="72"/>
      <c r="U502" s="81"/>
      <c r="V502" s="81"/>
      <c r="AA502" s="2"/>
    </row>
    <row r="503" ht="12.75" customHeight="1">
      <c r="A503" s="1"/>
      <c r="B503" s="1"/>
      <c r="L503" s="72"/>
      <c r="S503" s="72"/>
      <c r="T503" s="72"/>
      <c r="U503" s="81"/>
      <c r="V503" s="81"/>
      <c r="AA503" s="2"/>
    </row>
    <row r="504" ht="12.75" customHeight="1">
      <c r="A504" s="1"/>
      <c r="B504" s="1"/>
      <c r="L504" s="72"/>
      <c r="S504" s="72"/>
      <c r="T504" s="72"/>
      <c r="U504" s="81"/>
      <c r="V504" s="81"/>
      <c r="AA504" s="2"/>
    </row>
    <row r="505" ht="12.75" customHeight="1">
      <c r="A505" s="1"/>
      <c r="B505" s="1"/>
      <c r="L505" s="72"/>
      <c r="S505" s="72"/>
      <c r="T505" s="72"/>
      <c r="U505" s="81"/>
      <c r="V505" s="81"/>
      <c r="AA505" s="2"/>
    </row>
    <row r="506" ht="12.75" customHeight="1">
      <c r="A506" s="1"/>
      <c r="B506" s="1"/>
      <c r="L506" s="72"/>
      <c r="S506" s="72"/>
      <c r="T506" s="72"/>
      <c r="U506" s="81"/>
      <c r="V506" s="81"/>
      <c r="AA506" s="2"/>
    </row>
    <row r="507" ht="12.75" customHeight="1">
      <c r="A507" s="1"/>
      <c r="B507" s="1"/>
      <c r="L507" s="72"/>
      <c r="S507" s="72"/>
      <c r="T507" s="72"/>
      <c r="U507" s="81"/>
      <c r="V507" s="81"/>
      <c r="AA507" s="2"/>
    </row>
    <row r="508" ht="12.75" customHeight="1">
      <c r="A508" s="1"/>
      <c r="B508" s="1"/>
      <c r="L508" s="72"/>
      <c r="S508" s="72"/>
      <c r="T508" s="72"/>
      <c r="U508" s="81"/>
      <c r="V508" s="81"/>
      <c r="AA508" s="2"/>
    </row>
    <row r="509" ht="12.75" customHeight="1">
      <c r="A509" s="1"/>
      <c r="B509" s="1"/>
      <c r="L509" s="72"/>
      <c r="S509" s="72"/>
      <c r="T509" s="72"/>
      <c r="U509" s="81"/>
      <c r="V509" s="81"/>
      <c r="AA509" s="2"/>
    </row>
    <row r="510" ht="12.75" customHeight="1">
      <c r="A510" s="1"/>
      <c r="B510" s="1"/>
      <c r="L510" s="72"/>
      <c r="S510" s="72"/>
      <c r="T510" s="72"/>
      <c r="U510" s="81"/>
      <c r="V510" s="81"/>
      <c r="AA510" s="2"/>
    </row>
    <row r="511" ht="12.75" customHeight="1">
      <c r="A511" s="1"/>
      <c r="B511" s="1"/>
      <c r="L511" s="72"/>
      <c r="S511" s="72"/>
      <c r="T511" s="72"/>
      <c r="U511" s="81"/>
      <c r="V511" s="81"/>
      <c r="AA511" s="2"/>
    </row>
    <row r="512" ht="12.75" customHeight="1">
      <c r="A512" s="1"/>
      <c r="B512" s="1"/>
      <c r="L512" s="72"/>
      <c r="S512" s="72"/>
      <c r="T512" s="72"/>
      <c r="U512" s="81"/>
      <c r="V512" s="81"/>
      <c r="AA512" s="2"/>
    </row>
    <row r="513" ht="12.75" customHeight="1">
      <c r="A513" s="1"/>
      <c r="B513" s="1"/>
      <c r="L513" s="72"/>
      <c r="S513" s="72"/>
      <c r="T513" s="72"/>
      <c r="U513" s="81"/>
      <c r="V513" s="81"/>
      <c r="AA513" s="2"/>
    </row>
    <row r="514" ht="12.75" customHeight="1">
      <c r="A514" s="1"/>
      <c r="B514" s="1"/>
      <c r="L514" s="72"/>
      <c r="S514" s="72"/>
      <c r="T514" s="72"/>
      <c r="U514" s="81"/>
      <c r="V514" s="81"/>
      <c r="AA514" s="2"/>
    </row>
    <row r="515" ht="12.75" customHeight="1">
      <c r="A515" s="1"/>
      <c r="B515" s="1"/>
      <c r="L515" s="72"/>
      <c r="S515" s="72"/>
      <c r="T515" s="72"/>
      <c r="U515" s="81"/>
      <c r="V515" s="81"/>
      <c r="AA515" s="2"/>
    </row>
    <row r="516" ht="12.75" customHeight="1">
      <c r="A516" s="1"/>
      <c r="B516" s="1"/>
      <c r="L516" s="72"/>
      <c r="S516" s="72"/>
      <c r="T516" s="72"/>
      <c r="U516" s="81"/>
      <c r="V516" s="81"/>
      <c r="AA516" s="2"/>
    </row>
    <row r="517" ht="12.75" customHeight="1">
      <c r="A517" s="1"/>
      <c r="B517" s="1"/>
      <c r="L517" s="72"/>
      <c r="S517" s="72"/>
      <c r="T517" s="72"/>
      <c r="U517" s="81"/>
      <c r="V517" s="81"/>
      <c r="AA517" s="2"/>
    </row>
    <row r="518" ht="12.75" customHeight="1">
      <c r="A518" s="1"/>
      <c r="B518" s="1"/>
      <c r="L518" s="72"/>
      <c r="S518" s="72"/>
      <c r="T518" s="72"/>
      <c r="U518" s="81"/>
      <c r="V518" s="81"/>
      <c r="AA518" s="2"/>
    </row>
    <row r="519" ht="12.75" customHeight="1">
      <c r="A519" s="1"/>
      <c r="B519" s="1"/>
      <c r="L519" s="72"/>
      <c r="S519" s="72"/>
      <c r="T519" s="72"/>
      <c r="U519" s="81"/>
      <c r="V519" s="81"/>
      <c r="AA519" s="2"/>
    </row>
    <row r="520" ht="12.75" customHeight="1">
      <c r="A520" s="1"/>
      <c r="B520" s="1"/>
      <c r="L520" s="72"/>
      <c r="S520" s="72"/>
      <c r="T520" s="72"/>
      <c r="U520" s="81"/>
      <c r="V520" s="81"/>
      <c r="AA520" s="2"/>
    </row>
    <row r="521" ht="12.75" customHeight="1">
      <c r="A521" s="1"/>
      <c r="B521" s="1"/>
      <c r="L521" s="72"/>
      <c r="S521" s="72"/>
      <c r="T521" s="72"/>
      <c r="U521" s="81"/>
      <c r="V521" s="81"/>
      <c r="AA521" s="2"/>
    </row>
    <row r="522" ht="12.75" customHeight="1">
      <c r="A522" s="1"/>
      <c r="B522" s="1"/>
      <c r="L522" s="72"/>
      <c r="S522" s="72"/>
      <c r="T522" s="72"/>
      <c r="U522" s="81"/>
      <c r="V522" s="81"/>
      <c r="AA522" s="2"/>
    </row>
    <row r="523" ht="12.75" customHeight="1">
      <c r="A523" s="1"/>
      <c r="B523" s="1"/>
      <c r="L523" s="72"/>
      <c r="S523" s="72"/>
      <c r="T523" s="72"/>
      <c r="U523" s="81"/>
      <c r="V523" s="81"/>
      <c r="AA523" s="2"/>
    </row>
    <row r="524" ht="12.75" customHeight="1">
      <c r="A524" s="1"/>
      <c r="B524" s="1"/>
      <c r="L524" s="72"/>
      <c r="S524" s="72"/>
      <c r="T524" s="72"/>
      <c r="U524" s="81"/>
      <c r="V524" s="81"/>
      <c r="AA524" s="2"/>
    </row>
    <row r="525" ht="12.75" customHeight="1">
      <c r="A525" s="1"/>
      <c r="B525" s="1"/>
      <c r="L525" s="72"/>
      <c r="S525" s="72"/>
      <c r="T525" s="72"/>
      <c r="U525" s="81"/>
      <c r="V525" s="81"/>
      <c r="AA525" s="2"/>
    </row>
    <row r="526" ht="12.75" customHeight="1">
      <c r="A526" s="1"/>
      <c r="B526" s="1"/>
      <c r="L526" s="72"/>
      <c r="S526" s="72"/>
      <c r="T526" s="72"/>
      <c r="U526" s="81"/>
      <c r="V526" s="81"/>
      <c r="AA526" s="2"/>
    </row>
    <row r="527" ht="12.75" customHeight="1">
      <c r="A527" s="1"/>
      <c r="B527" s="1"/>
      <c r="L527" s="72"/>
      <c r="S527" s="72"/>
      <c r="T527" s="72"/>
      <c r="U527" s="81"/>
      <c r="V527" s="81"/>
      <c r="AA527" s="2"/>
    </row>
    <row r="528" ht="12.75" customHeight="1">
      <c r="A528" s="1"/>
      <c r="B528" s="1"/>
      <c r="L528" s="72"/>
      <c r="S528" s="72"/>
      <c r="T528" s="72"/>
      <c r="U528" s="81"/>
      <c r="V528" s="81"/>
      <c r="AA528" s="2"/>
    </row>
    <row r="529" ht="12.75" customHeight="1">
      <c r="A529" s="1"/>
      <c r="B529" s="1"/>
      <c r="L529" s="72"/>
      <c r="S529" s="72"/>
      <c r="T529" s="72"/>
      <c r="U529" s="81"/>
      <c r="V529" s="81"/>
      <c r="AA529" s="2"/>
    </row>
    <row r="530" ht="12.75" customHeight="1">
      <c r="A530" s="1"/>
      <c r="B530" s="1"/>
      <c r="L530" s="72"/>
      <c r="S530" s="72"/>
      <c r="T530" s="72"/>
      <c r="U530" s="81"/>
      <c r="V530" s="81"/>
      <c r="AA530" s="2"/>
    </row>
    <row r="531" ht="12.75" customHeight="1">
      <c r="A531" s="1"/>
      <c r="B531" s="1"/>
      <c r="L531" s="72"/>
      <c r="S531" s="72"/>
      <c r="T531" s="72"/>
      <c r="U531" s="81"/>
      <c r="V531" s="81"/>
      <c r="AA531" s="2"/>
    </row>
    <row r="532" ht="12.75" customHeight="1">
      <c r="A532" s="1"/>
      <c r="B532" s="1"/>
      <c r="L532" s="72"/>
      <c r="S532" s="72"/>
      <c r="T532" s="72"/>
      <c r="U532" s="81"/>
      <c r="V532" s="81"/>
      <c r="AA532" s="2"/>
    </row>
    <row r="533" ht="12.75" customHeight="1">
      <c r="A533" s="1"/>
      <c r="B533" s="1"/>
      <c r="L533" s="72"/>
      <c r="S533" s="72"/>
      <c r="T533" s="72"/>
      <c r="U533" s="81"/>
      <c r="V533" s="81"/>
      <c r="AA533" s="2"/>
    </row>
    <row r="534" ht="12.75" customHeight="1">
      <c r="A534" s="1"/>
      <c r="B534" s="1"/>
      <c r="L534" s="72"/>
      <c r="S534" s="72"/>
      <c r="T534" s="72"/>
      <c r="U534" s="81"/>
      <c r="V534" s="81"/>
      <c r="AA534" s="2"/>
    </row>
    <row r="535" ht="12.75" customHeight="1">
      <c r="A535" s="1"/>
      <c r="B535" s="1"/>
      <c r="L535" s="72"/>
      <c r="S535" s="72"/>
      <c r="T535" s="72"/>
      <c r="U535" s="81"/>
      <c r="V535" s="81"/>
      <c r="AA535" s="2"/>
    </row>
    <row r="536" ht="12.75" customHeight="1">
      <c r="A536" s="1"/>
      <c r="B536" s="1"/>
      <c r="L536" s="72"/>
      <c r="S536" s="72"/>
      <c r="T536" s="72"/>
      <c r="U536" s="81"/>
      <c r="V536" s="81"/>
      <c r="AA536" s="2"/>
    </row>
    <row r="537" ht="12.75" customHeight="1">
      <c r="A537" s="1"/>
      <c r="B537" s="1"/>
      <c r="L537" s="72"/>
      <c r="S537" s="72"/>
      <c r="T537" s="72"/>
      <c r="U537" s="81"/>
      <c r="V537" s="81"/>
      <c r="AA537" s="2"/>
    </row>
    <row r="538" ht="12.75" customHeight="1">
      <c r="A538" s="1"/>
      <c r="B538" s="1"/>
      <c r="L538" s="72"/>
      <c r="S538" s="72"/>
      <c r="T538" s="72"/>
      <c r="U538" s="81"/>
      <c r="V538" s="81"/>
      <c r="AA538" s="2"/>
    </row>
    <row r="539" ht="12.75" customHeight="1">
      <c r="A539" s="1"/>
      <c r="B539" s="1"/>
      <c r="L539" s="72"/>
      <c r="S539" s="72"/>
      <c r="T539" s="72"/>
      <c r="U539" s="81"/>
      <c r="V539" s="81"/>
      <c r="AA539" s="2"/>
    </row>
    <row r="540" ht="12.75" customHeight="1">
      <c r="A540" s="1"/>
      <c r="B540" s="1"/>
      <c r="L540" s="72"/>
      <c r="S540" s="72"/>
      <c r="T540" s="72"/>
      <c r="U540" s="81"/>
      <c r="V540" s="81"/>
      <c r="AA540" s="2"/>
    </row>
    <row r="541" ht="12.75" customHeight="1">
      <c r="A541" s="1"/>
      <c r="B541" s="1"/>
      <c r="L541" s="72"/>
      <c r="S541" s="72"/>
      <c r="T541" s="72"/>
      <c r="U541" s="81"/>
      <c r="V541" s="81"/>
      <c r="AA541" s="2"/>
    </row>
    <row r="542" ht="12.75" customHeight="1">
      <c r="A542" s="1"/>
      <c r="B542" s="1"/>
      <c r="L542" s="72"/>
      <c r="S542" s="72"/>
      <c r="T542" s="72"/>
      <c r="U542" s="81"/>
      <c r="V542" s="81"/>
      <c r="AA542" s="2"/>
    </row>
    <row r="543" ht="12.75" customHeight="1">
      <c r="A543" s="1"/>
      <c r="B543" s="1"/>
      <c r="L543" s="72"/>
      <c r="S543" s="72"/>
      <c r="T543" s="72"/>
      <c r="U543" s="81"/>
      <c r="V543" s="81"/>
      <c r="AA543" s="2"/>
    </row>
    <row r="544" ht="12.75" customHeight="1">
      <c r="A544" s="1"/>
      <c r="B544" s="1"/>
      <c r="L544" s="72"/>
      <c r="S544" s="72"/>
      <c r="T544" s="72"/>
      <c r="U544" s="81"/>
      <c r="V544" s="81"/>
      <c r="AA544" s="2"/>
    </row>
    <row r="545" ht="12.75" customHeight="1">
      <c r="A545" s="1"/>
      <c r="B545" s="1"/>
      <c r="L545" s="72"/>
      <c r="S545" s="72"/>
      <c r="T545" s="72"/>
      <c r="U545" s="81"/>
      <c r="V545" s="81"/>
      <c r="AA545" s="2"/>
    </row>
    <row r="546" ht="12.75" customHeight="1">
      <c r="A546" s="1"/>
      <c r="B546" s="1"/>
      <c r="L546" s="72"/>
      <c r="S546" s="72"/>
      <c r="T546" s="72"/>
      <c r="U546" s="81"/>
      <c r="V546" s="81"/>
      <c r="AA546" s="2"/>
    </row>
    <row r="547" ht="12.75" customHeight="1">
      <c r="A547" s="1"/>
      <c r="B547" s="1"/>
      <c r="L547" s="72"/>
      <c r="S547" s="72"/>
      <c r="T547" s="72"/>
      <c r="U547" s="81"/>
      <c r="V547" s="81"/>
      <c r="AA547" s="2"/>
    </row>
    <row r="548" ht="12.75" customHeight="1">
      <c r="A548" s="1"/>
      <c r="B548" s="1"/>
      <c r="L548" s="72"/>
      <c r="S548" s="72"/>
      <c r="T548" s="72"/>
      <c r="U548" s="81"/>
      <c r="V548" s="81"/>
      <c r="AA548" s="2"/>
    </row>
    <row r="549" ht="12.75" customHeight="1">
      <c r="A549" s="1"/>
      <c r="B549" s="1"/>
      <c r="L549" s="72"/>
      <c r="S549" s="72"/>
      <c r="T549" s="72"/>
      <c r="U549" s="81"/>
      <c r="V549" s="81"/>
      <c r="AA549" s="2"/>
    </row>
    <row r="550" ht="12.75" customHeight="1">
      <c r="A550" s="1"/>
      <c r="B550" s="1"/>
      <c r="L550" s="72"/>
      <c r="S550" s="72"/>
      <c r="T550" s="72"/>
      <c r="U550" s="81"/>
      <c r="V550" s="81"/>
      <c r="AA550" s="2"/>
    </row>
    <row r="551" ht="12.75" customHeight="1">
      <c r="A551" s="1"/>
      <c r="B551" s="1"/>
      <c r="L551" s="72"/>
      <c r="S551" s="72"/>
      <c r="T551" s="72"/>
      <c r="U551" s="81"/>
      <c r="V551" s="81"/>
      <c r="AA551" s="2"/>
    </row>
    <row r="552" ht="12.75" customHeight="1">
      <c r="A552" s="1"/>
      <c r="B552" s="1"/>
      <c r="L552" s="72"/>
      <c r="S552" s="72"/>
      <c r="T552" s="72"/>
      <c r="U552" s="81"/>
      <c r="V552" s="81"/>
      <c r="AA552" s="2"/>
    </row>
    <row r="553" ht="12.75" customHeight="1">
      <c r="A553" s="1"/>
      <c r="B553" s="1"/>
      <c r="L553" s="72"/>
      <c r="S553" s="72"/>
      <c r="T553" s="72"/>
      <c r="U553" s="81"/>
      <c r="V553" s="81"/>
      <c r="AA553" s="2"/>
    </row>
    <row r="554" ht="12.75" customHeight="1">
      <c r="A554" s="1"/>
      <c r="B554" s="1"/>
      <c r="L554" s="72"/>
      <c r="S554" s="72"/>
      <c r="T554" s="72"/>
      <c r="U554" s="81"/>
      <c r="V554" s="81"/>
      <c r="AA554" s="2"/>
    </row>
    <row r="555" ht="12.75" customHeight="1">
      <c r="A555" s="1"/>
      <c r="B555" s="1"/>
      <c r="L555" s="72"/>
      <c r="S555" s="72"/>
      <c r="T555" s="72"/>
      <c r="U555" s="81"/>
      <c r="V555" s="81"/>
      <c r="AA555" s="2"/>
    </row>
    <row r="556" ht="12.75" customHeight="1">
      <c r="A556" s="1"/>
      <c r="B556" s="1"/>
      <c r="L556" s="72"/>
      <c r="S556" s="72"/>
      <c r="T556" s="72"/>
      <c r="U556" s="81"/>
      <c r="V556" s="81"/>
      <c r="AA556" s="2"/>
    </row>
    <row r="557" ht="12.75" customHeight="1">
      <c r="A557" s="1"/>
      <c r="B557" s="1"/>
      <c r="L557" s="72"/>
      <c r="S557" s="72"/>
      <c r="T557" s="72"/>
      <c r="U557" s="81"/>
      <c r="V557" s="81"/>
      <c r="AA557" s="2"/>
    </row>
    <row r="558" ht="12.75" customHeight="1">
      <c r="A558" s="1"/>
      <c r="B558" s="1"/>
      <c r="L558" s="72"/>
      <c r="S558" s="72"/>
      <c r="T558" s="72"/>
      <c r="U558" s="81"/>
      <c r="V558" s="81"/>
      <c r="AA558" s="2"/>
    </row>
    <row r="559" ht="12.75" customHeight="1">
      <c r="A559" s="1"/>
      <c r="B559" s="1"/>
      <c r="L559" s="72"/>
      <c r="S559" s="72"/>
      <c r="T559" s="72"/>
      <c r="U559" s="81"/>
      <c r="V559" s="81"/>
      <c r="AA559" s="2"/>
    </row>
    <row r="560" ht="12.75" customHeight="1">
      <c r="A560" s="1"/>
      <c r="B560" s="1"/>
      <c r="L560" s="72"/>
      <c r="S560" s="72"/>
      <c r="T560" s="72"/>
      <c r="U560" s="81"/>
      <c r="V560" s="81"/>
      <c r="AA560" s="2"/>
    </row>
    <row r="561" ht="12.75" customHeight="1">
      <c r="A561" s="1"/>
      <c r="B561" s="1"/>
      <c r="L561" s="72"/>
      <c r="S561" s="72"/>
      <c r="T561" s="72"/>
      <c r="U561" s="81"/>
      <c r="V561" s="81"/>
      <c r="AA561" s="2"/>
    </row>
    <row r="562" ht="12.75" customHeight="1">
      <c r="A562" s="1"/>
      <c r="B562" s="1"/>
      <c r="L562" s="72"/>
      <c r="S562" s="72"/>
      <c r="T562" s="72"/>
      <c r="U562" s="81"/>
      <c r="V562" s="81"/>
      <c r="AA562" s="2"/>
    </row>
    <row r="563" ht="12.75" customHeight="1">
      <c r="A563" s="1"/>
      <c r="B563" s="1"/>
      <c r="L563" s="72"/>
      <c r="S563" s="72"/>
      <c r="T563" s="72"/>
      <c r="U563" s="81"/>
      <c r="V563" s="81"/>
      <c r="AA563" s="2"/>
    </row>
    <row r="564" ht="12.75" customHeight="1">
      <c r="A564" s="1"/>
      <c r="B564" s="1"/>
      <c r="L564" s="72"/>
      <c r="S564" s="72"/>
      <c r="T564" s="72"/>
      <c r="U564" s="81"/>
      <c r="V564" s="81"/>
      <c r="AA564" s="2"/>
    </row>
    <row r="565" ht="12.75" customHeight="1">
      <c r="A565" s="1"/>
      <c r="B565" s="1"/>
      <c r="L565" s="72"/>
      <c r="S565" s="72"/>
      <c r="T565" s="72"/>
      <c r="U565" s="81"/>
      <c r="V565" s="81"/>
      <c r="AA565" s="2"/>
    </row>
    <row r="566" ht="12.75" customHeight="1">
      <c r="A566" s="1"/>
      <c r="B566" s="1"/>
      <c r="L566" s="72"/>
      <c r="S566" s="72"/>
      <c r="T566" s="72"/>
      <c r="U566" s="81"/>
      <c r="V566" s="81"/>
      <c r="AA566" s="2"/>
    </row>
    <row r="567" ht="12.75" customHeight="1">
      <c r="A567" s="1"/>
      <c r="B567" s="1"/>
      <c r="L567" s="72"/>
      <c r="S567" s="72"/>
      <c r="T567" s="72"/>
      <c r="U567" s="81"/>
      <c r="V567" s="81"/>
      <c r="AA567" s="2"/>
    </row>
    <row r="568" ht="12.75" customHeight="1">
      <c r="A568" s="1"/>
      <c r="B568" s="1"/>
      <c r="L568" s="72"/>
      <c r="S568" s="72"/>
      <c r="T568" s="72"/>
      <c r="U568" s="81"/>
      <c r="V568" s="81"/>
      <c r="AA568" s="2"/>
    </row>
    <row r="569" ht="12.75" customHeight="1">
      <c r="A569" s="1"/>
      <c r="B569" s="1"/>
      <c r="L569" s="72"/>
      <c r="S569" s="72"/>
      <c r="T569" s="72"/>
      <c r="U569" s="81"/>
      <c r="V569" s="81"/>
      <c r="AA569" s="2"/>
    </row>
    <row r="570" ht="12.75" customHeight="1">
      <c r="A570" s="1"/>
      <c r="B570" s="1"/>
      <c r="L570" s="72"/>
      <c r="S570" s="72"/>
      <c r="T570" s="72"/>
      <c r="U570" s="81"/>
      <c r="V570" s="81"/>
      <c r="AA570" s="2"/>
    </row>
    <row r="571" ht="12.75" customHeight="1">
      <c r="A571" s="1"/>
      <c r="B571" s="1"/>
      <c r="L571" s="72"/>
      <c r="S571" s="72"/>
      <c r="T571" s="72"/>
      <c r="U571" s="81"/>
      <c r="V571" s="81"/>
      <c r="AA571" s="2"/>
    </row>
    <row r="572" ht="12.75" customHeight="1">
      <c r="A572" s="1"/>
      <c r="B572" s="1"/>
      <c r="L572" s="72"/>
      <c r="S572" s="72"/>
      <c r="T572" s="72"/>
      <c r="U572" s="81"/>
      <c r="V572" s="81"/>
      <c r="AA572" s="2"/>
    </row>
    <row r="573" ht="12.75" customHeight="1">
      <c r="A573" s="1"/>
      <c r="B573" s="1"/>
      <c r="L573" s="72"/>
      <c r="S573" s="72"/>
      <c r="T573" s="72"/>
      <c r="U573" s="81"/>
      <c r="V573" s="81"/>
      <c r="AA573" s="2"/>
    </row>
    <row r="574" ht="12.75" customHeight="1">
      <c r="A574" s="1"/>
      <c r="B574" s="1"/>
      <c r="L574" s="72"/>
      <c r="S574" s="72"/>
      <c r="T574" s="72"/>
      <c r="U574" s="81"/>
      <c r="V574" s="81"/>
      <c r="AA574" s="2"/>
    </row>
    <row r="575" ht="12.75" customHeight="1">
      <c r="A575" s="1"/>
      <c r="B575" s="1"/>
      <c r="L575" s="72"/>
      <c r="S575" s="72"/>
      <c r="T575" s="72"/>
      <c r="U575" s="81"/>
      <c r="V575" s="81"/>
      <c r="AA575" s="2"/>
    </row>
    <row r="576" ht="12.75" customHeight="1">
      <c r="A576" s="1"/>
      <c r="B576" s="1"/>
      <c r="L576" s="72"/>
      <c r="S576" s="72"/>
      <c r="T576" s="72"/>
      <c r="U576" s="81"/>
      <c r="V576" s="81"/>
      <c r="AA576" s="2"/>
    </row>
    <row r="577" ht="12.75" customHeight="1">
      <c r="A577" s="1"/>
      <c r="B577" s="1"/>
      <c r="L577" s="72"/>
      <c r="S577" s="72"/>
      <c r="T577" s="72"/>
      <c r="U577" s="81"/>
      <c r="V577" s="81"/>
      <c r="AA577" s="2"/>
    </row>
    <row r="578" ht="12.75" customHeight="1">
      <c r="A578" s="1"/>
      <c r="B578" s="1"/>
      <c r="L578" s="72"/>
      <c r="S578" s="72"/>
      <c r="T578" s="72"/>
      <c r="U578" s="81"/>
      <c r="V578" s="81"/>
      <c r="AA578" s="2"/>
    </row>
    <row r="579" ht="12.75" customHeight="1">
      <c r="A579" s="1"/>
      <c r="B579" s="1"/>
      <c r="L579" s="72"/>
      <c r="S579" s="72"/>
      <c r="T579" s="72"/>
      <c r="U579" s="81"/>
      <c r="V579" s="81"/>
      <c r="AA579" s="2"/>
    </row>
    <row r="580" ht="12.75" customHeight="1">
      <c r="A580" s="1"/>
      <c r="B580" s="1"/>
      <c r="L580" s="72"/>
      <c r="S580" s="72"/>
      <c r="T580" s="72"/>
      <c r="U580" s="81"/>
      <c r="V580" s="81"/>
      <c r="AA580" s="2"/>
    </row>
    <row r="581" ht="12.75" customHeight="1">
      <c r="A581" s="1"/>
      <c r="B581" s="1"/>
      <c r="L581" s="72"/>
      <c r="S581" s="72"/>
      <c r="T581" s="72"/>
      <c r="U581" s="81"/>
      <c r="V581" s="81"/>
      <c r="AA581" s="2"/>
    </row>
    <row r="582" ht="12.75" customHeight="1">
      <c r="A582" s="1"/>
      <c r="B582" s="1"/>
      <c r="L582" s="72"/>
      <c r="S582" s="72"/>
      <c r="T582" s="72"/>
      <c r="U582" s="81"/>
      <c r="V582" s="81"/>
      <c r="AA582" s="2"/>
    </row>
    <row r="583" ht="12.75" customHeight="1">
      <c r="A583" s="1"/>
      <c r="B583" s="1"/>
      <c r="L583" s="72"/>
      <c r="S583" s="72"/>
      <c r="T583" s="72"/>
      <c r="U583" s="81"/>
      <c r="V583" s="81"/>
      <c r="AA583" s="2"/>
    </row>
    <row r="584" ht="12.75" customHeight="1">
      <c r="A584" s="1"/>
      <c r="B584" s="1"/>
      <c r="L584" s="72"/>
      <c r="S584" s="72"/>
      <c r="T584" s="72"/>
      <c r="U584" s="81"/>
      <c r="V584" s="81"/>
      <c r="AA584" s="2"/>
    </row>
    <row r="585" ht="12.75" customHeight="1">
      <c r="A585" s="1"/>
      <c r="B585" s="1"/>
      <c r="L585" s="72"/>
      <c r="S585" s="72"/>
      <c r="T585" s="72"/>
      <c r="U585" s="81"/>
      <c r="V585" s="81"/>
      <c r="AA585" s="2"/>
    </row>
    <row r="586" ht="12.75" customHeight="1">
      <c r="A586" s="1"/>
      <c r="B586" s="1"/>
      <c r="L586" s="72"/>
      <c r="S586" s="72"/>
      <c r="T586" s="72"/>
      <c r="U586" s="81"/>
      <c r="V586" s="81"/>
      <c r="AA586" s="2"/>
    </row>
    <row r="587" ht="12.75" customHeight="1">
      <c r="A587" s="1"/>
      <c r="B587" s="1"/>
      <c r="L587" s="72"/>
      <c r="S587" s="72"/>
      <c r="T587" s="72"/>
      <c r="U587" s="81"/>
      <c r="V587" s="81"/>
      <c r="AA587" s="2"/>
    </row>
    <row r="588" ht="12.75" customHeight="1">
      <c r="A588" s="1"/>
      <c r="B588" s="1"/>
      <c r="L588" s="72"/>
      <c r="S588" s="72"/>
      <c r="T588" s="72"/>
      <c r="U588" s="81"/>
      <c r="V588" s="81"/>
      <c r="AA588" s="2"/>
    </row>
    <row r="589" ht="12.75" customHeight="1">
      <c r="A589" s="1"/>
      <c r="B589" s="1"/>
      <c r="L589" s="72"/>
      <c r="S589" s="72"/>
      <c r="T589" s="72"/>
      <c r="U589" s="81"/>
      <c r="V589" s="81"/>
      <c r="AA589" s="2"/>
    </row>
    <row r="590" ht="12.75" customHeight="1">
      <c r="A590" s="1"/>
      <c r="B590" s="1"/>
      <c r="L590" s="72"/>
      <c r="S590" s="72"/>
      <c r="T590" s="72"/>
      <c r="U590" s="81"/>
      <c r="V590" s="81"/>
      <c r="AA590" s="2"/>
    </row>
    <row r="591" ht="12.75" customHeight="1">
      <c r="A591" s="1"/>
      <c r="B591" s="1"/>
      <c r="L591" s="72"/>
      <c r="S591" s="72"/>
      <c r="T591" s="72"/>
      <c r="U591" s="81"/>
      <c r="V591" s="81"/>
      <c r="AA591" s="2"/>
    </row>
    <row r="592" ht="12.75" customHeight="1">
      <c r="A592" s="1"/>
      <c r="B592" s="1"/>
      <c r="L592" s="72"/>
      <c r="S592" s="72"/>
      <c r="T592" s="72"/>
      <c r="U592" s="81"/>
      <c r="V592" s="81"/>
      <c r="AA592" s="2"/>
    </row>
    <row r="593" ht="12.75" customHeight="1">
      <c r="A593" s="1"/>
      <c r="B593" s="1"/>
      <c r="L593" s="72"/>
      <c r="S593" s="72"/>
      <c r="T593" s="72"/>
      <c r="U593" s="81"/>
      <c r="V593" s="81"/>
      <c r="AA593" s="2"/>
    </row>
    <row r="594" ht="12.75" customHeight="1">
      <c r="A594" s="1"/>
      <c r="B594" s="1"/>
      <c r="L594" s="72"/>
      <c r="S594" s="72"/>
      <c r="T594" s="72"/>
      <c r="U594" s="81"/>
      <c r="V594" s="81"/>
      <c r="AA594" s="2"/>
    </row>
    <row r="595" ht="12.75" customHeight="1">
      <c r="A595" s="1"/>
      <c r="B595" s="1"/>
      <c r="L595" s="72"/>
      <c r="S595" s="72"/>
      <c r="T595" s="72"/>
      <c r="U595" s="81"/>
      <c r="V595" s="81"/>
      <c r="AA595" s="2"/>
    </row>
    <row r="596" ht="12.75" customHeight="1">
      <c r="A596" s="1"/>
      <c r="B596" s="1"/>
      <c r="L596" s="72"/>
      <c r="S596" s="72"/>
      <c r="T596" s="72"/>
      <c r="U596" s="81"/>
      <c r="V596" s="81"/>
      <c r="AA596" s="2"/>
    </row>
    <row r="597" ht="12.75" customHeight="1">
      <c r="A597" s="1"/>
      <c r="B597" s="1"/>
      <c r="L597" s="72"/>
      <c r="S597" s="72"/>
      <c r="T597" s="72"/>
      <c r="U597" s="81"/>
      <c r="V597" s="81"/>
      <c r="AA597" s="2"/>
    </row>
    <row r="598" ht="12.75" customHeight="1">
      <c r="A598" s="1"/>
      <c r="B598" s="1"/>
      <c r="L598" s="72"/>
      <c r="S598" s="72"/>
      <c r="T598" s="72"/>
      <c r="U598" s="81"/>
      <c r="V598" s="81"/>
      <c r="AA598" s="2"/>
    </row>
    <row r="599" ht="12.75" customHeight="1">
      <c r="A599" s="1"/>
      <c r="B599" s="1"/>
      <c r="L599" s="72"/>
      <c r="S599" s="72"/>
      <c r="T599" s="72"/>
      <c r="U599" s="81"/>
      <c r="V599" s="81"/>
      <c r="AA599" s="2"/>
    </row>
    <row r="600" ht="12.75" customHeight="1">
      <c r="A600" s="1"/>
      <c r="B600" s="1"/>
      <c r="L600" s="72"/>
      <c r="S600" s="72"/>
      <c r="T600" s="72"/>
      <c r="U600" s="81"/>
      <c r="V600" s="81"/>
      <c r="AA600" s="2"/>
    </row>
    <row r="601" ht="12.75" customHeight="1">
      <c r="A601" s="1"/>
      <c r="B601" s="1"/>
      <c r="L601" s="72"/>
      <c r="S601" s="72"/>
      <c r="T601" s="72"/>
      <c r="U601" s="81"/>
      <c r="V601" s="81"/>
      <c r="AA601" s="2"/>
    </row>
    <row r="602" ht="12.75" customHeight="1">
      <c r="A602" s="1"/>
      <c r="B602" s="1"/>
      <c r="L602" s="72"/>
      <c r="S602" s="72"/>
      <c r="T602" s="72"/>
      <c r="U602" s="81"/>
      <c r="V602" s="81"/>
      <c r="AA602" s="2"/>
    </row>
    <row r="603" ht="12.75" customHeight="1">
      <c r="A603" s="1"/>
      <c r="B603" s="1"/>
      <c r="L603" s="72"/>
      <c r="S603" s="72"/>
      <c r="T603" s="72"/>
      <c r="U603" s="81"/>
      <c r="V603" s="81"/>
      <c r="AA603" s="2"/>
    </row>
    <row r="604" ht="12.75" customHeight="1">
      <c r="A604" s="1"/>
      <c r="B604" s="1"/>
      <c r="L604" s="72"/>
      <c r="S604" s="72"/>
      <c r="T604" s="72"/>
      <c r="U604" s="81"/>
      <c r="V604" s="81"/>
      <c r="AA604" s="2"/>
    </row>
    <row r="605" ht="12.75" customHeight="1">
      <c r="A605" s="1"/>
      <c r="B605" s="1"/>
      <c r="L605" s="72"/>
      <c r="S605" s="72"/>
      <c r="T605" s="72"/>
      <c r="U605" s="81"/>
      <c r="V605" s="81"/>
      <c r="AA605" s="2"/>
    </row>
    <row r="606" ht="12.75" customHeight="1">
      <c r="A606" s="1"/>
      <c r="B606" s="1"/>
      <c r="L606" s="72"/>
      <c r="S606" s="72"/>
      <c r="T606" s="72"/>
      <c r="U606" s="81"/>
      <c r="V606" s="81"/>
      <c r="AA606" s="2"/>
    </row>
    <row r="607" ht="12.75" customHeight="1">
      <c r="A607" s="1"/>
      <c r="B607" s="1"/>
      <c r="L607" s="72"/>
      <c r="S607" s="72"/>
      <c r="T607" s="72"/>
      <c r="U607" s="81"/>
      <c r="V607" s="81"/>
      <c r="AA607" s="2"/>
    </row>
    <row r="608" ht="12.75" customHeight="1">
      <c r="A608" s="1"/>
      <c r="B608" s="1"/>
      <c r="L608" s="72"/>
      <c r="S608" s="72"/>
      <c r="T608" s="72"/>
      <c r="U608" s="81"/>
      <c r="V608" s="81"/>
      <c r="AA608" s="2"/>
    </row>
    <row r="609" ht="12.75" customHeight="1">
      <c r="A609" s="1"/>
      <c r="B609" s="1"/>
      <c r="L609" s="72"/>
      <c r="S609" s="72"/>
      <c r="T609" s="72"/>
      <c r="U609" s="81"/>
      <c r="V609" s="81"/>
      <c r="AA609" s="2"/>
    </row>
    <row r="610" ht="12.75" customHeight="1">
      <c r="A610" s="1"/>
      <c r="B610" s="1"/>
      <c r="L610" s="72"/>
      <c r="S610" s="72"/>
      <c r="T610" s="72"/>
      <c r="U610" s="81"/>
      <c r="V610" s="81"/>
      <c r="AA610" s="2"/>
    </row>
    <row r="611" ht="12.75" customHeight="1">
      <c r="A611" s="1"/>
      <c r="B611" s="1"/>
      <c r="L611" s="72"/>
      <c r="S611" s="72"/>
      <c r="T611" s="72"/>
      <c r="U611" s="81"/>
      <c r="V611" s="81"/>
      <c r="AA611" s="2"/>
    </row>
    <row r="612" ht="12.75" customHeight="1">
      <c r="A612" s="1"/>
      <c r="B612" s="1"/>
      <c r="L612" s="72"/>
      <c r="S612" s="72"/>
      <c r="T612" s="72"/>
      <c r="U612" s="81"/>
      <c r="V612" s="81"/>
      <c r="AA612" s="2"/>
    </row>
    <row r="613" ht="12.75" customHeight="1">
      <c r="A613" s="1"/>
      <c r="B613" s="1"/>
      <c r="L613" s="72"/>
      <c r="S613" s="72"/>
      <c r="T613" s="72"/>
      <c r="U613" s="81"/>
      <c r="V613" s="81"/>
      <c r="AA613" s="2"/>
    </row>
    <row r="614" ht="12.75" customHeight="1">
      <c r="A614" s="1"/>
      <c r="B614" s="1"/>
      <c r="L614" s="72"/>
      <c r="S614" s="72"/>
      <c r="T614" s="72"/>
      <c r="U614" s="81"/>
      <c r="V614" s="81"/>
      <c r="AA614" s="2"/>
    </row>
    <row r="615" ht="12.75" customHeight="1">
      <c r="A615" s="1"/>
      <c r="B615" s="1"/>
      <c r="L615" s="72"/>
      <c r="S615" s="72"/>
      <c r="T615" s="72"/>
      <c r="U615" s="81"/>
      <c r="V615" s="81"/>
      <c r="AA615" s="2"/>
    </row>
    <row r="616" ht="12.75" customHeight="1">
      <c r="A616" s="1"/>
      <c r="B616" s="1"/>
      <c r="L616" s="72"/>
      <c r="S616" s="72"/>
      <c r="T616" s="72"/>
      <c r="U616" s="81"/>
      <c r="V616" s="81"/>
      <c r="AA616" s="2"/>
    </row>
    <row r="617" ht="12.75" customHeight="1">
      <c r="A617" s="1"/>
      <c r="B617" s="1"/>
      <c r="L617" s="72"/>
      <c r="S617" s="72"/>
      <c r="T617" s="72"/>
      <c r="U617" s="81"/>
      <c r="V617" s="81"/>
      <c r="AA617" s="2"/>
    </row>
    <row r="618" ht="12.75" customHeight="1">
      <c r="A618" s="1"/>
      <c r="B618" s="1"/>
      <c r="L618" s="72"/>
      <c r="S618" s="72"/>
      <c r="T618" s="72"/>
      <c r="U618" s="81"/>
      <c r="V618" s="81"/>
      <c r="AA618" s="2"/>
    </row>
    <row r="619" ht="12.75" customHeight="1">
      <c r="A619" s="1"/>
      <c r="B619" s="1"/>
      <c r="L619" s="72"/>
      <c r="S619" s="72"/>
      <c r="T619" s="72"/>
      <c r="U619" s="81"/>
      <c r="V619" s="81"/>
      <c r="AA619" s="2"/>
    </row>
    <row r="620" ht="12.75" customHeight="1">
      <c r="A620" s="1"/>
      <c r="B620" s="1"/>
      <c r="L620" s="72"/>
      <c r="S620" s="72"/>
      <c r="T620" s="72"/>
      <c r="U620" s="81"/>
      <c r="V620" s="81"/>
      <c r="AA620" s="2"/>
    </row>
    <row r="621" ht="12.75" customHeight="1">
      <c r="A621" s="1"/>
      <c r="B621" s="1"/>
      <c r="L621" s="72"/>
      <c r="S621" s="72"/>
      <c r="T621" s="72"/>
      <c r="U621" s="81"/>
      <c r="V621" s="81"/>
      <c r="AA621" s="2"/>
    </row>
    <row r="622" ht="12.75" customHeight="1">
      <c r="A622" s="1"/>
      <c r="B622" s="1"/>
      <c r="L622" s="72"/>
      <c r="S622" s="72"/>
      <c r="T622" s="72"/>
      <c r="U622" s="81"/>
      <c r="V622" s="81"/>
      <c r="AA622" s="2"/>
    </row>
    <row r="623" ht="12.75" customHeight="1">
      <c r="A623" s="1"/>
      <c r="B623" s="1"/>
      <c r="L623" s="72"/>
      <c r="S623" s="72"/>
      <c r="T623" s="72"/>
      <c r="U623" s="81"/>
      <c r="V623" s="81"/>
      <c r="AA623" s="2"/>
    </row>
    <row r="624" ht="12.75" customHeight="1">
      <c r="A624" s="1"/>
      <c r="B624" s="1"/>
      <c r="L624" s="72"/>
      <c r="S624" s="72"/>
      <c r="T624" s="72"/>
      <c r="U624" s="81"/>
      <c r="V624" s="81"/>
      <c r="AA624" s="2"/>
    </row>
    <row r="625" ht="12.75" customHeight="1">
      <c r="A625" s="1"/>
      <c r="B625" s="1"/>
      <c r="L625" s="72"/>
      <c r="S625" s="72"/>
      <c r="T625" s="72"/>
      <c r="U625" s="81"/>
      <c r="V625" s="81"/>
      <c r="AA625" s="2"/>
    </row>
    <row r="626" ht="12.75" customHeight="1">
      <c r="A626" s="1"/>
      <c r="B626" s="1"/>
      <c r="L626" s="72"/>
      <c r="S626" s="72"/>
      <c r="T626" s="72"/>
      <c r="U626" s="81"/>
      <c r="V626" s="81"/>
      <c r="AA626" s="2"/>
    </row>
    <row r="627" ht="12.75" customHeight="1">
      <c r="A627" s="1"/>
      <c r="B627" s="1"/>
      <c r="L627" s="72"/>
      <c r="S627" s="72"/>
      <c r="T627" s="72"/>
      <c r="U627" s="81"/>
      <c r="V627" s="81"/>
      <c r="AA627" s="2"/>
    </row>
    <row r="628" ht="12.75" customHeight="1">
      <c r="A628" s="1"/>
      <c r="B628" s="1"/>
      <c r="L628" s="72"/>
      <c r="S628" s="72"/>
      <c r="T628" s="72"/>
      <c r="U628" s="81"/>
      <c r="V628" s="81"/>
      <c r="AA628" s="2"/>
    </row>
    <row r="629" ht="12.75" customHeight="1">
      <c r="A629" s="1"/>
      <c r="B629" s="1"/>
      <c r="L629" s="72"/>
      <c r="S629" s="72"/>
      <c r="T629" s="72"/>
      <c r="U629" s="81"/>
      <c r="V629" s="81"/>
      <c r="AA629" s="2"/>
    </row>
    <row r="630" ht="12.75" customHeight="1">
      <c r="A630" s="1"/>
      <c r="B630" s="1"/>
      <c r="L630" s="72"/>
      <c r="S630" s="72"/>
      <c r="T630" s="72"/>
      <c r="U630" s="81"/>
      <c r="V630" s="81"/>
      <c r="AA630" s="2"/>
    </row>
    <row r="631" ht="12.75" customHeight="1">
      <c r="A631" s="1"/>
      <c r="B631" s="1"/>
      <c r="L631" s="72"/>
      <c r="S631" s="72"/>
      <c r="T631" s="72"/>
      <c r="U631" s="81"/>
      <c r="V631" s="81"/>
      <c r="AA631" s="2"/>
    </row>
    <row r="632" ht="12.75" customHeight="1">
      <c r="A632" s="1"/>
      <c r="B632" s="1"/>
      <c r="L632" s="72"/>
      <c r="S632" s="72"/>
      <c r="T632" s="72"/>
      <c r="U632" s="81"/>
      <c r="V632" s="81"/>
      <c r="AA632" s="2"/>
    </row>
    <row r="633" ht="12.75" customHeight="1">
      <c r="A633" s="1"/>
      <c r="B633" s="1"/>
      <c r="L633" s="72"/>
      <c r="S633" s="72"/>
      <c r="T633" s="72"/>
      <c r="U633" s="81"/>
      <c r="V633" s="81"/>
      <c r="AA633" s="2"/>
    </row>
    <row r="634" ht="12.75" customHeight="1">
      <c r="A634" s="1"/>
      <c r="B634" s="1"/>
      <c r="L634" s="72"/>
      <c r="S634" s="72"/>
      <c r="T634" s="72"/>
      <c r="U634" s="81"/>
      <c r="V634" s="81"/>
      <c r="AA634" s="2"/>
    </row>
    <row r="635" ht="12.75" customHeight="1">
      <c r="A635" s="1"/>
      <c r="B635" s="1"/>
      <c r="L635" s="72"/>
      <c r="S635" s="72"/>
      <c r="T635" s="72"/>
      <c r="U635" s="81"/>
      <c r="V635" s="81"/>
      <c r="AA635" s="2"/>
    </row>
    <row r="636" ht="12.75" customHeight="1">
      <c r="A636" s="1"/>
      <c r="B636" s="1"/>
      <c r="L636" s="72"/>
      <c r="S636" s="72"/>
      <c r="T636" s="72"/>
      <c r="U636" s="81"/>
      <c r="V636" s="81"/>
      <c r="AA636" s="2"/>
    </row>
    <row r="637" ht="12.75" customHeight="1">
      <c r="A637" s="1"/>
      <c r="B637" s="1"/>
      <c r="L637" s="72"/>
      <c r="S637" s="72"/>
      <c r="T637" s="72"/>
      <c r="U637" s="81"/>
      <c r="V637" s="81"/>
      <c r="AA637" s="2"/>
    </row>
    <row r="638" ht="12.75" customHeight="1">
      <c r="A638" s="1"/>
      <c r="B638" s="1"/>
      <c r="L638" s="72"/>
      <c r="S638" s="72"/>
      <c r="T638" s="72"/>
      <c r="U638" s="81"/>
      <c r="V638" s="81"/>
      <c r="AA638" s="2"/>
    </row>
    <row r="639" ht="12.75" customHeight="1">
      <c r="A639" s="1"/>
      <c r="B639" s="1"/>
      <c r="L639" s="72"/>
      <c r="S639" s="72"/>
      <c r="T639" s="72"/>
      <c r="U639" s="81"/>
      <c r="V639" s="81"/>
      <c r="AA639" s="2"/>
    </row>
    <row r="640" ht="12.75" customHeight="1">
      <c r="A640" s="1"/>
      <c r="B640" s="1"/>
      <c r="L640" s="72"/>
      <c r="S640" s="72"/>
      <c r="T640" s="72"/>
      <c r="U640" s="81"/>
      <c r="V640" s="81"/>
      <c r="AA640" s="2"/>
    </row>
    <row r="641" ht="12.75" customHeight="1">
      <c r="A641" s="1"/>
      <c r="B641" s="1"/>
      <c r="L641" s="72"/>
      <c r="S641" s="72"/>
      <c r="T641" s="72"/>
      <c r="U641" s="81"/>
      <c r="V641" s="81"/>
      <c r="AA641" s="2"/>
    </row>
    <row r="642" ht="12.75" customHeight="1">
      <c r="A642" s="1"/>
      <c r="B642" s="1"/>
      <c r="L642" s="72"/>
      <c r="S642" s="72"/>
      <c r="T642" s="72"/>
      <c r="U642" s="81"/>
      <c r="V642" s="81"/>
      <c r="AA642" s="2"/>
    </row>
    <row r="643" ht="12.75" customHeight="1">
      <c r="A643" s="1"/>
      <c r="B643" s="1"/>
      <c r="L643" s="72"/>
      <c r="S643" s="72"/>
      <c r="T643" s="72"/>
      <c r="U643" s="81"/>
      <c r="V643" s="81"/>
      <c r="AA643" s="2"/>
    </row>
    <row r="644" ht="12.75" customHeight="1">
      <c r="A644" s="1"/>
      <c r="B644" s="1"/>
      <c r="L644" s="72"/>
      <c r="S644" s="72"/>
      <c r="T644" s="72"/>
      <c r="U644" s="81"/>
      <c r="V644" s="81"/>
      <c r="AA644" s="2"/>
    </row>
    <row r="645" ht="12.75" customHeight="1">
      <c r="A645" s="1"/>
      <c r="B645" s="1"/>
      <c r="L645" s="72"/>
      <c r="S645" s="72"/>
      <c r="T645" s="72"/>
      <c r="U645" s="81"/>
      <c r="V645" s="81"/>
      <c r="AA645" s="2"/>
    </row>
    <row r="646" ht="12.75" customHeight="1">
      <c r="A646" s="1"/>
      <c r="B646" s="1"/>
      <c r="L646" s="72"/>
      <c r="S646" s="72"/>
      <c r="T646" s="72"/>
      <c r="U646" s="81"/>
      <c r="V646" s="81"/>
      <c r="AA646" s="2"/>
    </row>
    <row r="647" ht="12.75" customHeight="1">
      <c r="A647" s="1"/>
      <c r="B647" s="1"/>
      <c r="L647" s="72"/>
      <c r="S647" s="72"/>
      <c r="T647" s="72"/>
      <c r="U647" s="81"/>
      <c r="V647" s="81"/>
      <c r="AA647" s="2"/>
    </row>
    <row r="648" ht="12.75" customHeight="1">
      <c r="A648" s="1"/>
      <c r="B648" s="1"/>
      <c r="L648" s="72"/>
      <c r="S648" s="72"/>
      <c r="T648" s="72"/>
      <c r="U648" s="81"/>
      <c r="V648" s="81"/>
      <c r="AA648" s="2"/>
    </row>
    <row r="649" ht="12.75" customHeight="1">
      <c r="A649" s="1"/>
      <c r="B649" s="1"/>
      <c r="L649" s="72"/>
      <c r="S649" s="72"/>
      <c r="T649" s="72"/>
      <c r="U649" s="81"/>
      <c r="V649" s="81"/>
      <c r="AA649" s="2"/>
    </row>
    <row r="650" ht="12.75" customHeight="1">
      <c r="A650" s="1"/>
      <c r="B650" s="1"/>
      <c r="L650" s="72"/>
      <c r="S650" s="72"/>
      <c r="T650" s="72"/>
      <c r="U650" s="81"/>
      <c r="V650" s="81"/>
      <c r="AA650" s="2"/>
    </row>
    <row r="651" ht="12.75" customHeight="1">
      <c r="A651" s="1"/>
      <c r="B651" s="1"/>
      <c r="L651" s="72"/>
      <c r="S651" s="72"/>
      <c r="T651" s="72"/>
      <c r="U651" s="81"/>
      <c r="V651" s="81"/>
      <c r="AA651" s="2"/>
    </row>
    <row r="652" ht="12.75" customHeight="1">
      <c r="A652" s="1"/>
      <c r="B652" s="1"/>
      <c r="L652" s="72"/>
      <c r="S652" s="72"/>
      <c r="T652" s="72"/>
      <c r="U652" s="81"/>
      <c r="V652" s="81"/>
      <c r="AA652" s="2"/>
    </row>
    <row r="653" ht="12.75" customHeight="1">
      <c r="A653" s="1"/>
      <c r="B653" s="1"/>
      <c r="L653" s="72"/>
      <c r="S653" s="72"/>
      <c r="T653" s="72"/>
      <c r="U653" s="81"/>
      <c r="V653" s="81"/>
      <c r="AA653" s="2"/>
    </row>
    <row r="654" ht="12.75" customHeight="1">
      <c r="A654" s="1"/>
      <c r="B654" s="1"/>
      <c r="L654" s="72"/>
      <c r="S654" s="72"/>
      <c r="T654" s="72"/>
      <c r="U654" s="81"/>
      <c r="V654" s="81"/>
      <c r="AA654" s="2"/>
    </row>
    <row r="655" ht="12.75" customHeight="1">
      <c r="A655" s="1"/>
      <c r="B655" s="1"/>
      <c r="L655" s="72"/>
      <c r="S655" s="72"/>
      <c r="T655" s="72"/>
      <c r="U655" s="81"/>
      <c r="V655" s="81"/>
      <c r="AA655" s="2"/>
    </row>
    <row r="656" ht="12.75" customHeight="1">
      <c r="A656" s="1"/>
      <c r="B656" s="1"/>
      <c r="L656" s="72"/>
      <c r="S656" s="72"/>
      <c r="T656" s="72"/>
      <c r="U656" s="81"/>
      <c r="V656" s="81"/>
      <c r="AA656" s="2"/>
    </row>
    <row r="657" ht="12.75" customHeight="1">
      <c r="A657" s="1"/>
      <c r="B657" s="1"/>
      <c r="L657" s="72"/>
      <c r="S657" s="72"/>
      <c r="T657" s="72"/>
      <c r="U657" s="81"/>
      <c r="V657" s="81"/>
      <c r="AA657" s="2"/>
    </row>
    <row r="658" ht="12.75" customHeight="1">
      <c r="A658" s="1"/>
      <c r="B658" s="1"/>
      <c r="L658" s="72"/>
      <c r="S658" s="72"/>
      <c r="T658" s="72"/>
      <c r="U658" s="81"/>
      <c r="V658" s="81"/>
      <c r="AA658" s="2"/>
    </row>
    <row r="659" ht="12.75" customHeight="1">
      <c r="A659" s="1"/>
      <c r="B659" s="1"/>
      <c r="L659" s="72"/>
      <c r="S659" s="72"/>
      <c r="T659" s="72"/>
      <c r="U659" s="81"/>
      <c r="V659" s="81"/>
      <c r="AA659" s="2"/>
    </row>
    <row r="660" ht="12.75" customHeight="1">
      <c r="A660" s="1"/>
      <c r="B660" s="1"/>
      <c r="L660" s="72"/>
      <c r="S660" s="72"/>
      <c r="T660" s="72"/>
      <c r="U660" s="81"/>
      <c r="V660" s="81"/>
      <c r="AA660" s="2"/>
    </row>
    <row r="661" ht="12.75" customHeight="1">
      <c r="A661" s="1"/>
      <c r="B661" s="1"/>
      <c r="L661" s="72"/>
      <c r="S661" s="72"/>
      <c r="T661" s="72"/>
      <c r="U661" s="81"/>
      <c r="V661" s="81"/>
      <c r="AA661" s="2"/>
    </row>
    <row r="662" ht="12.75" customHeight="1">
      <c r="A662" s="1"/>
      <c r="B662" s="1"/>
      <c r="L662" s="72"/>
      <c r="S662" s="72"/>
      <c r="T662" s="72"/>
      <c r="U662" s="81"/>
      <c r="V662" s="81"/>
      <c r="AA662" s="2"/>
    </row>
    <row r="663" ht="12.75" customHeight="1">
      <c r="A663" s="1"/>
      <c r="B663" s="1"/>
      <c r="L663" s="72"/>
      <c r="S663" s="72"/>
      <c r="T663" s="72"/>
      <c r="U663" s="81"/>
      <c r="V663" s="81"/>
      <c r="AA663" s="2"/>
    </row>
    <row r="664" ht="12.75" customHeight="1">
      <c r="A664" s="1"/>
      <c r="B664" s="1"/>
      <c r="L664" s="72"/>
      <c r="S664" s="72"/>
      <c r="T664" s="72"/>
      <c r="U664" s="81"/>
      <c r="V664" s="81"/>
      <c r="AA664" s="2"/>
    </row>
    <row r="665" ht="12.75" customHeight="1">
      <c r="A665" s="1"/>
      <c r="B665" s="1"/>
      <c r="L665" s="72"/>
      <c r="S665" s="72"/>
      <c r="T665" s="72"/>
      <c r="U665" s="81"/>
      <c r="V665" s="81"/>
      <c r="AA665" s="2"/>
    </row>
    <row r="666" ht="12.75" customHeight="1">
      <c r="A666" s="1"/>
      <c r="B666" s="1"/>
      <c r="L666" s="72"/>
      <c r="S666" s="72"/>
      <c r="T666" s="72"/>
      <c r="U666" s="81"/>
      <c r="V666" s="81"/>
      <c r="AA666" s="2"/>
    </row>
    <row r="667" ht="12.75" customHeight="1">
      <c r="A667" s="1"/>
      <c r="B667" s="1"/>
      <c r="L667" s="72"/>
      <c r="S667" s="72"/>
      <c r="T667" s="72"/>
      <c r="U667" s="81"/>
      <c r="V667" s="81"/>
      <c r="AA667" s="2"/>
    </row>
    <row r="668" ht="12.75" customHeight="1">
      <c r="A668" s="1"/>
      <c r="B668" s="1"/>
      <c r="L668" s="72"/>
      <c r="S668" s="72"/>
      <c r="T668" s="72"/>
      <c r="U668" s="81"/>
      <c r="V668" s="81"/>
      <c r="AA668" s="2"/>
    </row>
    <row r="669" ht="12.75" customHeight="1">
      <c r="A669" s="1"/>
      <c r="B669" s="1"/>
      <c r="L669" s="72"/>
      <c r="S669" s="72"/>
      <c r="T669" s="72"/>
      <c r="U669" s="81"/>
      <c r="V669" s="81"/>
      <c r="AA669" s="2"/>
    </row>
    <row r="670" ht="12.75" customHeight="1">
      <c r="A670" s="1"/>
      <c r="B670" s="1"/>
      <c r="L670" s="72"/>
      <c r="S670" s="72"/>
      <c r="T670" s="72"/>
      <c r="U670" s="81"/>
      <c r="V670" s="81"/>
      <c r="AA670" s="2"/>
    </row>
    <row r="671" ht="12.75" customHeight="1">
      <c r="A671" s="1"/>
      <c r="B671" s="1"/>
      <c r="L671" s="72"/>
      <c r="S671" s="72"/>
      <c r="T671" s="72"/>
      <c r="U671" s="81"/>
      <c r="V671" s="81"/>
      <c r="AA671" s="2"/>
    </row>
    <row r="672" ht="12.75" customHeight="1">
      <c r="A672" s="1"/>
      <c r="B672" s="1"/>
      <c r="L672" s="72"/>
      <c r="S672" s="72"/>
      <c r="T672" s="72"/>
      <c r="U672" s="81"/>
      <c r="V672" s="81"/>
      <c r="AA672" s="2"/>
    </row>
    <row r="673" ht="12.75" customHeight="1">
      <c r="A673" s="1"/>
      <c r="B673" s="1"/>
      <c r="L673" s="72"/>
      <c r="S673" s="72"/>
      <c r="T673" s="72"/>
      <c r="U673" s="81"/>
      <c r="V673" s="81"/>
      <c r="AA673" s="2"/>
    </row>
    <row r="674" ht="12.75" customHeight="1">
      <c r="A674" s="1"/>
      <c r="B674" s="1"/>
      <c r="L674" s="72"/>
      <c r="S674" s="72"/>
      <c r="T674" s="72"/>
      <c r="U674" s="81"/>
      <c r="V674" s="81"/>
      <c r="AA674" s="2"/>
    </row>
    <row r="675" ht="12.75" customHeight="1">
      <c r="A675" s="1"/>
      <c r="B675" s="1"/>
      <c r="L675" s="72"/>
      <c r="S675" s="72"/>
      <c r="T675" s="72"/>
      <c r="U675" s="81"/>
      <c r="V675" s="81"/>
      <c r="AA675" s="2"/>
    </row>
    <row r="676" ht="12.75" customHeight="1">
      <c r="A676" s="1"/>
      <c r="B676" s="1"/>
      <c r="L676" s="72"/>
      <c r="S676" s="72"/>
      <c r="T676" s="72"/>
      <c r="U676" s="81"/>
      <c r="V676" s="81"/>
      <c r="AA676" s="2"/>
    </row>
    <row r="677" ht="12.75" customHeight="1">
      <c r="A677" s="1"/>
      <c r="B677" s="1"/>
      <c r="L677" s="72"/>
      <c r="S677" s="72"/>
      <c r="T677" s="72"/>
      <c r="U677" s="81"/>
      <c r="V677" s="81"/>
      <c r="AA677" s="2"/>
    </row>
    <row r="678" ht="12.75" customHeight="1">
      <c r="A678" s="1"/>
      <c r="B678" s="1"/>
      <c r="L678" s="72"/>
      <c r="S678" s="72"/>
      <c r="T678" s="72"/>
      <c r="U678" s="81"/>
      <c r="V678" s="81"/>
      <c r="AA678" s="2"/>
    </row>
    <row r="679" ht="12.75" customHeight="1">
      <c r="A679" s="1"/>
      <c r="B679" s="1"/>
      <c r="L679" s="72"/>
      <c r="S679" s="72"/>
      <c r="T679" s="72"/>
      <c r="U679" s="81"/>
      <c r="V679" s="81"/>
      <c r="AA679" s="2"/>
    </row>
    <row r="680" ht="12.75" customHeight="1">
      <c r="A680" s="1"/>
      <c r="B680" s="1"/>
      <c r="L680" s="72"/>
      <c r="S680" s="72"/>
      <c r="T680" s="72"/>
      <c r="U680" s="81"/>
      <c r="V680" s="81"/>
      <c r="AA680" s="2"/>
    </row>
    <row r="681" ht="12.75" customHeight="1">
      <c r="A681" s="1"/>
      <c r="B681" s="1"/>
      <c r="L681" s="72"/>
      <c r="S681" s="72"/>
      <c r="T681" s="72"/>
      <c r="U681" s="81"/>
      <c r="V681" s="81"/>
      <c r="AA681" s="2"/>
    </row>
    <row r="682" ht="12.75" customHeight="1">
      <c r="A682" s="1"/>
      <c r="B682" s="1"/>
      <c r="L682" s="72"/>
      <c r="S682" s="72"/>
      <c r="T682" s="72"/>
      <c r="U682" s="81"/>
      <c r="V682" s="81"/>
      <c r="AA682" s="2"/>
    </row>
    <row r="683" ht="12.75" customHeight="1">
      <c r="A683" s="1"/>
      <c r="B683" s="1"/>
      <c r="L683" s="72"/>
      <c r="S683" s="72"/>
      <c r="T683" s="72"/>
      <c r="U683" s="81"/>
      <c r="V683" s="81"/>
      <c r="AA683" s="2"/>
    </row>
    <row r="684" ht="12.75" customHeight="1">
      <c r="A684" s="1"/>
      <c r="B684" s="1"/>
      <c r="L684" s="72"/>
      <c r="S684" s="72"/>
      <c r="T684" s="72"/>
      <c r="U684" s="81"/>
      <c r="V684" s="81"/>
      <c r="AA684" s="2"/>
    </row>
    <row r="685" ht="12.75" customHeight="1">
      <c r="A685" s="1"/>
      <c r="B685" s="1"/>
      <c r="L685" s="72"/>
      <c r="S685" s="72"/>
      <c r="T685" s="72"/>
      <c r="U685" s="81"/>
      <c r="V685" s="81"/>
      <c r="AA685" s="2"/>
    </row>
    <row r="686" ht="12.75" customHeight="1">
      <c r="A686" s="1"/>
      <c r="B686" s="1"/>
      <c r="L686" s="72"/>
      <c r="S686" s="72"/>
      <c r="T686" s="72"/>
      <c r="U686" s="81"/>
      <c r="V686" s="81"/>
      <c r="AA686" s="2"/>
    </row>
    <row r="687" ht="12.75" customHeight="1">
      <c r="A687" s="1"/>
      <c r="B687" s="1"/>
      <c r="L687" s="72"/>
      <c r="S687" s="72"/>
      <c r="T687" s="72"/>
      <c r="U687" s="81"/>
      <c r="V687" s="81"/>
      <c r="AA687" s="2"/>
    </row>
    <row r="688" ht="12.75" customHeight="1">
      <c r="A688" s="1"/>
      <c r="B688" s="1"/>
      <c r="L688" s="72"/>
      <c r="S688" s="72"/>
      <c r="T688" s="72"/>
      <c r="U688" s="81"/>
      <c r="V688" s="81"/>
      <c r="AA688" s="2"/>
    </row>
    <row r="689" ht="12.75" customHeight="1">
      <c r="A689" s="1"/>
      <c r="B689" s="1"/>
      <c r="L689" s="72"/>
      <c r="S689" s="72"/>
      <c r="T689" s="72"/>
      <c r="U689" s="81"/>
      <c r="V689" s="81"/>
      <c r="AA689" s="2"/>
    </row>
    <row r="690" ht="12.75" customHeight="1">
      <c r="A690" s="1"/>
      <c r="B690" s="1"/>
      <c r="L690" s="72"/>
      <c r="S690" s="72"/>
      <c r="T690" s="72"/>
      <c r="U690" s="81"/>
      <c r="V690" s="81"/>
      <c r="AA690" s="2"/>
    </row>
    <row r="691" ht="12.75" customHeight="1">
      <c r="A691" s="1"/>
      <c r="B691" s="1"/>
      <c r="L691" s="72"/>
      <c r="S691" s="72"/>
      <c r="T691" s="72"/>
      <c r="U691" s="81"/>
      <c r="V691" s="81"/>
      <c r="AA691" s="2"/>
    </row>
    <row r="692" ht="12.75" customHeight="1">
      <c r="A692" s="1"/>
      <c r="B692" s="1"/>
      <c r="L692" s="72"/>
      <c r="S692" s="72"/>
      <c r="T692" s="72"/>
      <c r="U692" s="81"/>
      <c r="V692" s="81"/>
      <c r="AA692" s="2"/>
    </row>
    <row r="693" ht="12.75" customHeight="1">
      <c r="A693" s="1"/>
      <c r="B693" s="1"/>
      <c r="L693" s="72"/>
      <c r="S693" s="72"/>
      <c r="T693" s="72"/>
      <c r="U693" s="81"/>
      <c r="V693" s="81"/>
      <c r="AA693" s="2"/>
    </row>
    <row r="694" ht="12.75" customHeight="1">
      <c r="A694" s="1"/>
      <c r="B694" s="1"/>
      <c r="L694" s="72"/>
      <c r="S694" s="72"/>
      <c r="T694" s="72"/>
      <c r="U694" s="81"/>
      <c r="V694" s="81"/>
      <c r="AA694" s="2"/>
    </row>
    <row r="695" ht="12.75" customHeight="1">
      <c r="A695" s="1"/>
      <c r="B695" s="1"/>
      <c r="L695" s="72"/>
      <c r="S695" s="72"/>
      <c r="T695" s="72"/>
      <c r="U695" s="81"/>
      <c r="V695" s="81"/>
      <c r="AA695" s="2"/>
    </row>
    <row r="696" ht="12.75" customHeight="1">
      <c r="A696" s="1"/>
      <c r="B696" s="1"/>
      <c r="L696" s="72"/>
      <c r="S696" s="72"/>
      <c r="T696" s="72"/>
      <c r="U696" s="81"/>
      <c r="V696" s="81"/>
      <c r="AA696" s="2"/>
    </row>
    <row r="697" ht="12.75" customHeight="1">
      <c r="A697" s="1"/>
      <c r="B697" s="1"/>
      <c r="L697" s="72"/>
      <c r="S697" s="72"/>
      <c r="T697" s="72"/>
      <c r="U697" s="81"/>
      <c r="V697" s="81"/>
      <c r="AA697" s="2"/>
    </row>
    <row r="698" ht="12.75" customHeight="1">
      <c r="A698" s="1"/>
      <c r="B698" s="1"/>
      <c r="L698" s="72"/>
      <c r="S698" s="72"/>
      <c r="T698" s="72"/>
      <c r="U698" s="81"/>
      <c r="V698" s="81"/>
      <c r="AA698" s="2"/>
    </row>
    <row r="699" ht="12.75" customHeight="1">
      <c r="A699" s="1"/>
      <c r="B699" s="1"/>
      <c r="L699" s="72"/>
      <c r="S699" s="72"/>
      <c r="T699" s="72"/>
      <c r="U699" s="81"/>
      <c r="V699" s="81"/>
      <c r="AA699" s="2"/>
    </row>
    <row r="700" ht="12.75" customHeight="1">
      <c r="A700" s="1"/>
      <c r="B700" s="1"/>
      <c r="L700" s="72"/>
      <c r="S700" s="72"/>
      <c r="T700" s="72"/>
      <c r="U700" s="81"/>
      <c r="V700" s="81"/>
      <c r="AA700" s="2"/>
    </row>
    <row r="701" ht="12.75" customHeight="1">
      <c r="A701" s="1"/>
      <c r="B701" s="1"/>
      <c r="L701" s="72"/>
      <c r="S701" s="72"/>
      <c r="T701" s="72"/>
      <c r="U701" s="81"/>
      <c r="V701" s="81"/>
      <c r="AA701" s="2"/>
    </row>
    <row r="702" ht="12.75" customHeight="1">
      <c r="A702" s="1"/>
      <c r="B702" s="1"/>
      <c r="L702" s="72"/>
      <c r="S702" s="72"/>
      <c r="T702" s="72"/>
      <c r="U702" s="81"/>
      <c r="V702" s="81"/>
      <c r="AA702" s="2"/>
    </row>
    <row r="703" ht="12.75" customHeight="1">
      <c r="A703" s="1"/>
      <c r="B703" s="1"/>
      <c r="L703" s="72"/>
      <c r="S703" s="72"/>
      <c r="T703" s="72"/>
      <c r="U703" s="81"/>
      <c r="V703" s="81"/>
      <c r="AA703" s="2"/>
    </row>
    <row r="704" ht="12.75" customHeight="1">
      <c r="A704" s="1"/>
      <c r="B704" s="1"/>
      <c r="L704" s="72"/>
      <c r="S704" s="72"/>
      <c r="T704" s="72"/>
      <c r="U704" s="81"/>
      <c r="V704" s="81"/>
      <c r="AA704" s="2"/>
    </row>
    <row r="705" ht="12.75" customHeight="1">
      <c r="A705" s="1"/>
      <c r="B705" s="1"/>
      <c r="L705" s="72"/>
      <c r="S705" s="72"/>
      <c r="T705" s="72"/>
      <c r="U705" s="81"/>
      <c r="V705" s="81"/>
      <c r="AA705" s="2"/>
    </row>
    <row r="706" ht="12.75" customHeight="1">
      <c r="A706" s="1"/>
      <c r="B706" s="1"/>
      <c r="L706" s="72"/>
      <c r="S706" s="72"/>
      <c r="T706" s="72"/>
      <c r="U706" s="81"/>
      <c r="V706" s="81"/>
      <c r="AA706" s="2"/>
    </row>
    <row r="707" ht="12.75" customHeight="1">
      <c r="A707" s="1"/>
      <c r="B707" s="1"/>
      <c r="L707" s="72"/>
      <c r="S707" s="72"/>
      <c r="T707" s="72"/>
      <c r="U707" s="81"/>
      <c r="V707" s="81"/>
      <c r="AA707" s="2"/>
    </row>
    <row r="708" ht="12.75" customHeight="1">
      <c r="A708" s="1"/>
      <c r="B708" s="1"/>
      <c r="L708" s="72"/>
      <c r="S708" s="72"/>
      <c r="T708" s="72"/>
      <c r="U708" s="81"/>
      <c r="V708" s="81"/>
      <c r="AA708" s="2"/>
    </row>
    <row r="709" ht="12.75" customHeight="1">
      <c r="A709" s="1"/>
      <c r="B709" s="1"/>
      <c r="L709" s="72"/>
      <c r="S709" s="72"/>
      <c r="T709" s="72"/>
      <c r="U709" s="81"/>
      <c r="V709" s="81"/>
      <c r="AA709" s="2"/>
    </row>
    <row r="710" ht="12.75" customHeight="1">
      <c r="A710" s="1"/>
      <c r="B710" s="1"/>
      <c r="L710" s="72"/>
      <c r="S710" s="72"/>
      <c r="T710" s="72"/>
      <c r="U710" s="81"/>
      <c r="V710" s="81"/>
      <c r="AA710" s="2"/>
    </row>
    <row r="711" ht="12.75" customHeight="1">
      <c r="A711" s="1"/>
      <c r="B711" s="1"/>
      <c r="L711" s="72"/>
      <c r="S711" s="72"/>
      <c r="T711" s="72"/>
      <c r="U711" s="81"/>
      <c r="V711" s="81"/>
      <c r="AA711" s="2"/>
    </row>
    <row r="712" ht="12.75" customHeight="1">
      <c r="A712" s="1"/>
      <c r="B712" s="1"/>
      <c r="L712" s="72"/>
      <c r="S712" s="72"/>
      <c r="T712" s="72"/>
      <c r="U712" s="81"/>
      <c r="V712" s="81"/>
      <c r="AA712" s="2"/>
    </row>
    <row r="713" ht="12.75" customHeight="1">
      <c r="A713" s="1"/>
      <c r="B713" s="1"/>
      <c r="L713" s="72"/>
      <c r="S713" s="72"/>
      <c r="T713" s="72"/>
      <c r="U713" s="81"/>
      <c r="V713" s="81"/>
      <c r="AA713" s="2"/>
    </row>
    <row r="714" ht="12.75" customHeight="1">
      <c r="A714" s="1"/>
      <c r="B714" s="1"/>
      <c r="L714" s="72"/>
      <c r="S714" s="72"/>
      <c r="T714" s="72"/>
      <c r="U714" s="81"/>
      <c r="V714" s="81"/>
      <c r="AA714" s="2"/>
    </row>
    <row r="715" ht="12.75" customHeight="1">
      <c r="A715" s="1"/>
      <c r="B715" s="1"/>
      <c r="L715" s="72"/>
      <c r="S715" s="72"/>
      <c r="T715" s="72"/>
      <c r="U715" s="81"/>
      <c r="V715" s="81"/>
      <c r="AA715" s="2"/>
    </row>
    <row r="716" ht="12.75" customHeight="1">
      <c r="A716" s="1"/>
      <c r="B716" s="1"/>
      <c r="L716" s="72"/>
      <c r="S716" s="72"/>
      <c r="T716" s="72"/>
      <c r="U716" s="81"/>
      <c r="V716" s="81"/>
      <c r="AA716" s="2"/>
    </row>
    <row r="717" ht="12.75" customHeight="1">
      <c r="A717" s="1"/>
      <c r="B717" s="1"/>
      <c r="L717" s="72"/>
      <c r="S717" s="72"/>
      <c r="T717" s="72"/>
      <c r="U717" s="81"/>
      <c r="V717" s="81"/>
      <c r="AA717" s="2"/>
    </row>
    <row r="718" ht="12.75" customHeight="1">
      <c r="A718" s="1"/>
      <c r="B718" s="1"/>
      <c r="L718" s="72"/>
      <c r="S718" s="72"/>
      <c r="T718" s="72"/>
      <c r="U718" s="81"/>
      <c r="V718" s="81"/>
      <c r="AA718" s="2"/>
    </row>
    <row r="719" ht="12.75" customHeight="1">
      <c r="A719" s="1"/>
      <c r="B719" s="1"/>
      <c r="L719" s="72"/>
      <c r="S719" s="72"/>
      <c r="T719" s="72"/>
      <c r="U719" s="81"/>
      <c r="V719" s="81"/>
      <c r="AA719" s="2"/>
    </row>
    <row r="720" ht="12.75" customHeight="1">
      <c r="A720" s="1"/>
      <c r="B720" s="1"/>
      <c r="L720" s="72"/>
      <c r="S720" s="72"/>
      <c r="T720" s="72"/>
      <c r="U720" s="81"/>
      <c r="V720" s="81"/>
      <c r="AA720" s="2"/>
    </row>
    <row r="721" ht="12.75" customHeight="1">
      <c r="A721" s="1"/>
      <c r="B721" s="1"/>
      <c r="L721" s="72"/>
      <c r="S721" s="72"/>
      <c r="T721" s="72"/>
      <c r="U721" s="81"/>
      <c r="V721" s="81"/>
      <c r="AA721" s="2"/>
    </row>
    <row r="722" ht="12.75" customHeight="1">
      <c r="A722" s="1"/>
      <c r="B722" s="1"/>
      <c r="L722" s="72"/>
      <c r="S722" s="72"/>
      <c r="T722" s="72"/>
      <c r="U722" s="81"/>
      <c r="V722" s="81"/>
      <c r="AA722" s="2"/>
    </row>
    <row r="723" ht="12.75" customHeight="1">
      <c r="A723" s="1"/>
      <c r="B723" s="1"/>
      <c r="L723" s="72"/>
      <c r="S723" s="72"/>
      <c r="T723" s="72"/>
      <c r="U723" s="81"/>
      <c r="V723" s="81"/>
      <c r="AA723" s="2"/>
    </row>
    <row r="724" ht="12.75" customHeight="1">
      <c r="A724" s="1"/>
      <c r="B724" s="1"/>
      <c r="L724" s="72"/>
      <c r="S724" s="72"/>
      <c r="T724" s="72"/>
      <c r="U724" s="81"/>
      <c r="V724" s="81"/>
      <c r="AA724" s="2"/>
    </row>
    <row r="725" ht="12.75" customHeight="1">
      <c r="A725" s="1"/>
      <c r="B725" s="1"/>
      <c r="L725" s="72"/>
      <c r="S725" s="72"/>
      <c r="T725" s="72"/>
      <c r="U725" s="81"/>
      <c r="V725" s="81"/>
      <c r="AA725" s="2"/>
    </row>
    <row r="726" ht="12.75" customHeight="1">
      <c r="A726" s="1"/>
      <c r="B726" s="1"/>
      <c r="L726" s="72"/>
      <c r="S726" s="72"/>
      <c r="T726" s="72"/>
      <c r="U726" s="81"/>
      <c r="V726" s="81"/>
      <c r="AA726" s="2"/>
    </row>
    <row r="727" ht="12.75" customHeight="1">
      <c r="A727" s="1"/>
      <c r="B727" s="1"/>
      <c r="L727" s="72"/>
      <c r="S727" s="72"/>
      <c r="T727" s="72"/>
      <c r="U727" s="81"/>
      <c r="V727" s="81"/>
      <c r="AA727" s="2"/>
    </row>
    <row r="728" ht="12.75" customHeight="1">
      <c r="A728" s="1"/>
      <c r="B728" s="1"/>
      <c r="L728" s="72"/>
      <c r="S728" s="72"/>
      <c r="T728" s="72"/>
      <c r="U728" s="81"/>
      <c r="V728" s="81"/>
      <c r="AA728" s="2"/>
    </row>
    <row r="729" ht="12.75" customHeight="1">
      <c r="A729" s="1"/>
      <c r="B729" s="1"/>
      <c r="L729" s="72"/>
      <c r="S729" s="72"/>
      <c r="T729" s="72"/>
      <c r="U729" s="81"/>
      <c r="V729" s="81"/>
      <c r="AA729" s="2"/>
    </row>
    <row r="730" ht="12.75" customHeight="1">
      <c r="A730" s="1"/>
      <c r="B730" s="1"/>
      <c r="L730" s="72"/>
      <c r="S730" s="72"/>
      <c r="T730" s="72"/>
      <c r="U730" s="81"/>
      <c r="V730" s="81"/>
      <c r="AA730" s="2"/>
    </row>
    <row r="731" ht="12.75" customHeight="1">
      <c r="A731" s="1"/>
      <c r="B731" s="1"/>
      <c r="L731" s="72"/>
      <c r="S731" s="72"/>
      <c r="T731" s="72"/>
      <c r="U731" s="81"/>
      <c r="V731" s="81"/>
      <c r="AA731" s="2"/>
    </row>
    <row r="732" ht="12.75" customHeight="1">
      <c r="A732" s="1"/>
      <c r="B732" s="1"/>
      <c r="L732" s="72"/>
      <c r="S732" s="72"/>
      <c r="T732" s="72"/>
      <c r="U732" s="81"/>
      <c r="V732" s="81"/>
      <c r="AA732" s="2"/>
    </row>
    <row r="733" ht="12.75" customHeight="1">
      <c r="A733" s="1"/>
      <c r="B733" s="1"/>
      <c r="L733" s="72"/>
      <c r="S733" s="72"/>
      <c r="T733" s="72"/>
      <c r="U733" s="81"/>
      <c r="V733" s="81"/>
      <c r="AA733" s="2"/>
    </row>
    <row r="734" ht="12.75" customHeight="1">
      <c r="A734" s="1"/>
      <c r="B734" s="1"/>
      <c r="L734" s="72"/>
      <c r="S734" s="72"/>
      <c r="T734" s="72"/>
      <c r="U734" s="81"/>
      <c r="V734" s="81"/>
      <c r="AA734" s="2"/>
    </row>
    <row r="735" ht="12.75" customHeight="1">
      <c r="A735" s="1"/>
      <c r="B735" s="1"/>
      <c r="L735" s="72"/>
      <c r="S735" s="72"/>
      <c r="T735" s="72"/>
      <c r="U735" s="81"/>
      <c r="V735" s="81"/>
      <c r="AA735" s="2"/>
    </row>
    <row r="736" ht="12.75" customHeight="1">
      <c r="A736" s="1"/>
      <c r="B736" s="1"/>
      <c r="L736" s="72"/>
      <c r="S736" s="72"/>
      <c r="T736" s="72"/>
      <c r="U736" s="81"/>
      <c r="V736" s="81"/>
      <c r="AA736" s="2"/>
    </row>
    <row r="737" ht="12.75" customHeight="1">
      <c r="A737" s="1"/>
      <c r="B737" s="1"/>
      <c r="L737" s="72"/>
      <c r="S737" s="72"/>
      <c r="T737" s="72"/>
      <c r="U737" s="81"/>
      <c r="V737" s="81"/>
      <c r="AA737" s="2"/>
    </row>
    <row r="738" ht="12.75" customHeight="1">
      <c r="A738" s="1"/>
      <c r="B738" s="1"/>
      <c r="L738" s="72"/>
      <c r="S738" s="72"/>
      <c r="T738" s="72"/>
      <c r="U738" s="81"/>
      <c r="V738" s="81"/>
      <c r="AA738" s="2"/>
    </row>
    <row r="739" ht="12.75" customHeight="1">
      <c r="A739" s="1"/>
      <c r="B739" s="1"/>
      <c r="L739" s="72"/>
      <c r="S739" s="72"/>
      <c r="T739" s="72"/>
      <c r="U739" s="81"/>
      <c r="V739" s="81"/>
      <c r="AA739" s="2"/>
    </row>
    <row r="740" ht="12.75" customHeight="1">
      <c r="A740" s="1"/>
      <c r="B740" s="1"/>
      <c r="L740" s="72"/>
      <c r="S740" s="72"/>
      <c r="T740" s="72"/>
      <c r="U740" s="81"/>
      <c r="V740" s="81"/>
      <c r="AA740" s="2"/>
    </row>
    <row r="741" ht="12.75" customHeight="1">
      <c r="A741" s="1"/>
      <c r="B741" s="1"/>
      <c r="L741" s="72"/>
      <c r="S741" s="72"/>
      <c r="T741" s="72"/>
      <c r="U741" s="81"/>
      <c r="V741" s="81"/>
      <c r="AA741" s="2"/>
    </row>
    <row r="742" ht="12.75" customHeight="1">
      <c r="A742" s="1"/>
      <c r="B742" s="1"/>
      <c r="L742" s="72"/>
      <c r="S742" s="72"/>
      <c r="T742" s="72"/>
      <c r="U742" s="81"/>
      <c r="V742" s="81"/>
      <c r="AA742" s="2"/>
    </row>
    <row r="743" ht="12.75" customHeight="1">
      <c r="A743" s="1"/>
      <c r="B743" s="1"/>
      <c r="L743" s="72"/>
      <c r="S743" s="72"/>
      <c r="T743" s="72"/>
      <c r="U743" s="81"/>
      <c r="V743" s="81"/>
      <c r="AA743" s="2"/>
    </row>
    <row r="744" ht="12.75" customHeight="1">
      <c r="A744" s="1"/>
      <c r="B744" s="1"/>
      <c r="L744" s="72"/>
      <c r="S744" s="72"/>
      <c r="T744" s="72"/>
      <c r="U744" s="81"/>
      <c r="V744" s="81"/>
      <c r="AA744" s="2"/>
    </row>
    <row r="745" ht="12.75" customHeight="1">
      <c r="A745" s="1"/>
      <c r="B745" s="1"/>
      <c r="L745" s="72"/>
      <c r="S745" s="72"/>
      <c r="T745" s="72"/>
      <c r="U745" s="81"/>
      <c r="V745" s="81"/>
      <c r="AA745" s="2"/>
    </row>
    <row r="746" ht="12.75" customHeight="1">
      <c r="A746" s="1"/>
      <c r="B746" s="1"/>
      <c r="L746" s="72"/>
      <c r="S746" s="72"/>
      <c r="T746" s="72"/>
      <c r="U746" s="81"/>
      <c r="V746" s="81"/>
      <c r="AA746" s="2"/>
    </row>
    <row r="747" ht="12.75" customHeight="1">
      <c r="A747" s="1"/>
      <c r="B747" s="1"/>
      <c r="L747" s="72"/>
      <c r="S747" s="72"/>
      <c r="T747" s="72"/>
      <c r="U747" s="81"/>
      <c r="V747" s="81"/>
      <c r="AA747" s="2"/>
    </row>
    <row r="748" ht="12.75" customHeight="1">
      <c r="A748" s="1"/>
      <c r="B748" s="1"/>
      <c r="L748" s="72"/>
      <c r="S748" s="72"/>
      <c r="T748" s="72"/>
      <c r="U748" s="81"/>
      <c r="V748" s="81"/>
      <c r="AA748" s="2"/>
    </row>
    <row r="749" ht="12.75" customHeight="1">
      <c r="A749" s="1"/>
      <c r="B749" s="1"/>
      <c r="L749" s="72"/>
      <c r="S749" s="72"/>
      <c r="T749" s="72"/>
      <c r="U749" s="81"/>
      <c r="V749" s="81"/>
      <c r="AA749" s="2"/>
    </row>
    <row r="750" ht="12.75" customHeight="1">
      <c r="A750" s="1"/>
      <c r="B750" s="1"/>
      <c r="L750" s="72"/>
      <c r="S750" s="72"/>
      <c r="T750" s="72"/>
      <c r="U750" s="81"/>
      <c r="V750" s="81"/>
      <c r="AA750" s="2"/>
    </row>
    <row r="751" ht="12.75" customHeight="1">
      <c r="A751" s="1"/>
      <c r="B751" s="1"/>
      <c r="L751" s="72"/>
      <c r="S751" s="72"/>
      <c r="T751" s="72"/>
      <c r="U751" s="81"/>
      <c r="V751" s="81"/>
      <c r="AA751" s="2"/>
    </row>
    <row r="752" ht="12.75" customHeight="1">
      <c r="A752" s="1"/>
      <c r="B752" s="1"/>
      <c r="L752" s="72"/>
      <c r="S752" s="72"/>
      <c r="T752" s="72"/>
      <c r="U752" s="81"/>
      <c r="V752" s="81"/>
      <c r="AA752" s="2"/>
    </row>
    <row r="753" ht="12.75" customHeight="1">
      <c r="A753" s="1"/>
      <c r="B753" s="1"/>
      <c r="L753" s="72"/>
      <c r="S753" s="72"/>
      <c r="T753" s="72"/>
      <c r="U753" s="81"/>
      <c r="V753" s="81"/>
      <c r="AA753" s="2"/>
    </row>
    <row r="754" ht="12.75" customHeight="1">
      <c r="A754" s="1"/>
      <c r="B754" s="1"/>
      <c r="L754" s="72"/>
      <c r="S754" s="72"/>
      <c r="T754" s="72"/>
      <c r="U754" s="81"/>
      <c r="V754" s="81"/>
      <c r="AA754" s="2"/>
    </row>
    <row r="755" ht="12.75" customHeight="1">
      <c r="A755" s="1"/>
      <c r="B755" s="1"/>
      <c r="L755" s="72"/>
      <c r="S755" s="72"/>
      <c r="T755" s="72"/>
      <c r="U755" s="81"/>
      <c r="V755" s="81"/>
      <c r="AA755" s="2"/>
    </row>
    <row r="756" ht="12.75" customHeight="1">
      <c r="A756" s="1"/>
      <c r="B756" s="1"/>
      <c r="L756" s="72"/>
      <c r="S756" s="72"/>
      <c r="T756" s="72"/>
      <c r="U756" s="81"/>
      <c r="V756" s="81"/>
      <c r="AA756" s="2"/>
    </row>
    <row r="757" ht="12.75" customHeight="1">
      <c r="A757" s="1"/>
      <c r="B757" s="1"/>
      <c r="L757" s="72"/>
      <c r="S757" s="72"/>
      <c r="T757" s="72"/>
      <c r="U757" s="81"/>
      <c r="V757" s="81"/>
      <c r="AA757" s="2"/>
    </row>
    <row r="758" ht="12.75" customHeight="1">
      <c r="A758" s="1"/>
      <c r="B758" s="1"/>
      <c r="L758" s="72"/>
      <c r="S758" s="72"/>
      <c r="T758" s="72"/>
      <c r="U758" s="81"/>
      <c r="V758" s="81"/>
      <c r="AA758" s="2"/>
    </row>
    <row r="759" ht="12.75" customHeight="1">
      <c r="A759" s="1"/>
      <c r="B759" s="1"/>
      <c r="L759" s="72"/>
      <c r="S759" s="72"/>
      <c r="T759" s="72"/>
      <c r="U759" s="81"/>
      <c r="V759" s="81"/>
      <c r="AA759" s="2"/>
    </row>
    <row r="760" ht="12.75" customHeight="1">
      <c r="A760" s="1"/>
      <c r="B760" s="1"/>
      <c r="L760" s="72"/>
      <c r="S760" s="72"/>
      <c r="T760" s="72"/>
      <c r="U760" s="81"/>
      <c r="V760" s="81"/>
      <c r="AA760" s="2"/>
    </row>
    <row r="761" ht="12.75" customHeight="1">
      <c r="A761" s="1"/>
      <c r="B761" s="1"/>
      <c r="L761" s="72"/>
      <c r="S761" s="72"/>
      <c r="T761" s="72"/>
      <c r="U761" s="81"/>
      <c r="V761" s="81"/>
      <c r="AA761" s="2"/>
    </row>
    <row r="762" ht="12.75" customHeight="1">
      <c r="A762" s="1"/>
      <c r="B762" s="1"/>
      <c r="L762" s="72"/>
      <c r="S762" s="72"/>
      <c r="T762" s="72"/>
      <c r="U762" s="81"/>
      <c r="V762" s="81"/>
      <c r="AA762" s="2"/>
    </row>
    <row r="763" ht="12.75" customHeight="1">
      <c r="A763" s="1"/>
      <c r="B763" s="1"/>
      <c r="L763" s="72"/>
      <c r="S763" s="72"/>
      <c r="T763" s="72"/>
      <c r="U763" s="81"/>
      <c r="V763" s="81"/>
      <c r="AA763" s="2"/>
    </row>
    <row r="764" ht="12.75" customHeight="1">
      <c r="A764" s="1"/>
      <c r="B764" s="1"/>
      <c r="L764" s="72"/>
      <c r="S764" s="72"/>
      <c r="T764" s="72"/>
      <c r="U764" s="81"/>
      <c r="V764" s="81"/>
      <c r="AA764" s="2"/>
    </row>
    <row r="765" ht="12.75" customHeight="1">
      <c r="A765" s="1"/>
      <c r="B765" s="1"/>
      <c r="L765" s="72"/>
      <c r="S765" s="72"/>
      <c r="T765" s="72"/>
      <c r="U765" s="81"/>
      <c r="V765" s="81"/>
      <c r="AA765" s="2"/>
    </row>
    <row r="766" ht="12.75" customHeight="1">
      <c r="A766" s="1"/>
      <c r="B766" s="1"/>
      <c r="L766" s="72"/>
      <c r="S766" s="72"/>
      <c r="T766" s="72"/>
      <c r="U766" s="81"/>
      <c r="V766" s="81"/>
      <c r="AA766" s="2"/>
    </row>
    <row r="767" ht="12.75" customHeight="1">
      <c r="A767" s="1"/>
      <c r="B767" s="1"/>
      <c r="L767" s="72"/>
      <c r="S767" s="72"/>
      <c r="T767" s="72"/>
      <c r="U767" s="81"/>
      <c r="V767" s="81"/>
      <c r="AA767" s="2"/>
    </row>
    <row r="768" ht="12.75" customHeight="1">
      <c r="A768" s="1"/>
      <c r="B768" s="1"/>
      <c r="L768" s="72"/>
      <c r="S768" s="72"/>
      <c r="T768" s="72"/>
      <c r="U768" s="81"/>
      <c r="V768" s="81"/>
      <c r="AA768" s="2"/>
    </row>
    <row r="769" ht="12.75" customHeight="1">
      <c r="A769" s="1"/>
      <c r="B769" s="1"/>
      <c r="L769" s="72"/>
      <c r="S769" s="72"/>
      <c r="T769" s="72"/>
      <c r="U769" s="81"/>
      <c r="V769" s="81"/>
      <c r="AA769" s="2"/>
    </row>
    <row r="770" ht="12.75" customHeight="1">
      <c r="A770" s="1"/>
      <c r="B770" s="1"/>
      <c r="L770" s="72"/>
      <c r="S770" s="72"/>
      <c r="T770" s="72"/>
      <c r="U770" s="81"/>
      <c r="V770" s="81"/>
      <c r="AA770" s="2"/>
    </row>
    <row r="771" ht="12.75" customHeight="1">
      <c r="A771" s="1"/>
      <c r="B771" s="1"/>
      <c r="L771" s="72"/>
      <c r="S771" s="72"/>
      <c r="T771" s="72"/>
      <c r="U771" s="81"/>
      <c r="V771" s="81"/>
      <c r="AA771" s="2"/>
    </row>
    <row r="772" ht="12.75" customHeight="1">
      <c r="A772" s="1"/>
      <c r="B772" s="1"/>
      <c r="L772" s="72"/>
      <c r="S772" s="72"/>
      <c r="T772" s="72"/>
      <c r="U772" s="81"/>
      <c r="V772" s="81"/>
      <c r="AA772" s="2"/>
    </row>
    <row r="773" ht="12.75" customHeight="1">
      <c r="A773" s="1"/>
      <c r="B773" s="1"/>
      <c r="L773" s="72"/>
      <c r="S773" s="72"/>
      <c r="T773" s="72"/>
      <c r="U773" s="81"/>
      <c r="V773" s="81"/>
      <c r="AA773" s="2"/>
    </row>
    <row r="774" ht="12.75" customHeight="1">
      <c r="A774" s="1"/>
      <c r="B774" s="1"/>
      <c r="L774" s="72"/>
      <c r="S774" s="72"/>
      <c r="T774" s="72"/>
      <c r="U774" s="81"/>
      <c r="V774" s="81"/>
      <c r="AA774" s="2"/>
    </row>
    <row r="775" ht="12.75" customHeight="1">
      <c r="A775" s="1"/>
      <c r="B775" s="1"/>
      <c r="L775" s="72"/>
      <c r="S775" s="72"/>
      <c r="T775" s="72"/>
      <c r="U775" s="81"/>
      <c r="V775" s="81"/>
      <c r="AA775" s="2"/>
    </row>
    <row r="776" ht="12.75" customHeight="1">
      <c r="A776" s="1"/>
      <c r="B776" s="1"/>
      <c r="L776" s="72"/>
      <c r="S776" s="72"/>
      <c r="T776" s="72"/>
      <c r="U776" s="81"/>
      <c r="V776" s="81"/>
      <c r="AA776" s="2"/>
    </row>
    <row r="777" ht="12.75" customHeight="1">
      <c r="A777" s="1"/>
      <c r="B777" s="1"/>
      <c r="L777" s="72"/>
      <c r="S777" s="72"/>
      <c r="T777" s="72"/>
      <c r="U777" s="81"/>
      <c r="V777" s="81"/>
      <c r="AA777" s="2"/>
    </row>
    <row r="778" ht="12.75" customHeight="1">
      <c r="A778" s="1"/>
      <c r="B778" s="1"/>
      <c r="L778" s="72"/>
      <c r="S778" s="72"/>
      <c r="T778" s="72"/>
      <c r="U778" s="81"/>
      <c r="V778" s="81"/>
      <c r="AA778" s="2"/>
    </row>
    <row r="779" ht="12.75" customHeight="1">
      <c r="A779" s="1"/>
      <c r="B779" s="1"/>
      <c r="L779" s="72"/>
      <c r="S779" s="72"/>
      <c r="T779" s="72"/>
      <c r="U779" s="81"/>
      <c r="V779" s="81"/>
      <c r="AA779" s="2"/>
    </row>
    <row r="780" ht="12.75" customHeight="1">
      <c r="A780" s="1"/>
      <c r="B780" s="1"/>
      <c r="L780" s="72"/>
      <c r="S780" s="72"/>
      <c r="T780" s="72"/>
      <c r="U780" s="81"/>
      <c r="V780" s="81"/>
      <c r="AA780" s="2"/>
    </row>
    <row r="781" ht="12.75" customHeight="1">
      <c r="A781" s="1"/>
      <c r="B781" s="1"/>
      <c r="L781" s="72"/>
      <c r="S781" s="72"/>
      <c r="T781" s="72"/>
      <c r="U781" s="81"/>
      <c r="V781" s="81"/>
      <c r="AA781" s="2"/>
    </row>
    <row r="782" ht="12.75" customHeight="1">
      <c r="A782" s="1"/>
      <c r="B782" s="1"/>
      <c r="L782" s="72"/>
      <c r="S782" s="72"/>
      <c r="T782" s="72"/>
      <c r="U782" s="81"/>
      <c r="V782" s="81"/>
      <c r="AA782" s="2"/>
    </row>
    <row r="783" ht="12.75" customHeight="1">
      <c r="A783" s="1"/>
      <c r="B783" s="1"/>
      <c r="L783" s="72"/>
      <c r="S783" s="72"/>
      <c r="T783" s="72"/>
      <c r="U783" s="81"/>
      <c r="V783" s="81"/>
      <c r="AA783" s="2"/>
    </row>
    <row r="784" ht="12.75" customHeight="1">
      <c r="A784" s="1"/>
      <c r="B784" s="1"/>
      <c r="L784" s="72"/>
      <c r="S784" s="72"/>
      <c r="T784" s="72"/>
      <c r="U784" s="81"/>
      <c r="V784" s="81"/>
      <c r="AA784" s="2"/>
    </row>
    <row r="785" ht="12.75" customHeight="1">
      <c r="A785" s="1"/>
      <c r="B785" s="1"/>
      <c r="L785" s="72"/>
      <c r="S785" s="72"/>
      <c r="T785" s="72"/>
      <c r="U785" s="81"/>
      <c r="V785" s="81"/>
      <c r="AA785" s="2"/>
    </row>
    <row r="786" ht="12.75" customHeight="1">
      <c r="A786" s="1"/>
      <c r="B786" s="1"/>
      <c r="L786" s="72"/>
      <c r="S786" s="72"/>
      <c r="T786" s="72"/>
      <c r="U786" s="81"/>
      <c r="V786" s="81"/>
      <c r="AA786" s="2"/>
    </row>
    <row r="787" ht="12.75" customHeight="1">
      <c r="A787" s="1"/>
      <c r="B787" s="1"/>
      <c r="L787" s="72"/>
      <c r="S787" s="72"/>
      <c r="T787" s="72"/>
      <c r="U787" s="81"/>
      <c r="V787" s="81"/>
      <c r="AA787" s="2"/>
    </row>
    <row r="788" ht="12.75" customHeight="1">
      <c r="A788" s="1"/>
      <c r="B788" s="1"/>
      <c r="L788" s="72"/>
      <c r="S788" s="72"/>
      <c r="T788" s="72"/>
      <c r="U788" s="81"/>
      <c r="V788" s="81"/>
      <c r="AA788" s="2"/>
    </row>
    <row r="789" ht="12.75" customHeight="1">
      <c r="A789" s="1"/>
      <c r="B789" s="1"/>
      <c r="L789" s="72"/>
      <c r="S789" s="72"/>
      <c r="T789" s="72"/>
      <c r="U789" s="81"/>
      <c r="V789" s="81"/>
      <c r="AA789" s="2"/>
    </row>
    <row r="790" ht="12.75" customHeight="1">
      <c r="A790" s="1"/>
      <c r="B790" s="1"/>
      <c r="L790" s="72"/>
      <c r="S790" s="72"/>
      <c r="T790" s="72"/>
      <c r="U790" s="81"/>
      <c r="V790" s="81"/>
      <c r="AA790" s="2"/>
    </row>
    <row r="791" ht="12.75" customHeight="1">
      <c r="A791" s="1"/>
      <c r="B791" s="1"/>
      <c r="L791" s="72"/>
      <c r="S791" s="72"/>
      <c r="T791" s="72"/>
      <c r="U791" s="81"/>
      <c r="V791" s="81"/>
      <c r="AA791" s="2"/>
    </row>
    <row r="792" ht="12.75" customHeight="1">
      <c r="A792" s="1"/>
      <c r="B792" s="1"/>
      <c r="L792" s="72"/>
      <c r="S792" s="72"/>
      <c r="T792" s="72"/>
      <c r="U792" s="81"/>
      <c r="V792" s="81"/>
      <c r="AA792" s="2"/>
    </row>
    <row r="793" ht="12.75" customHeight="1">
      <c r="A793" s="1"/>
      <c r="B793" s="1"/>
      <c r="L793" s="72"/>
      <c r="S793" s="72"/>
      <c r="T793" s="72"/>
      <c r="U793" s="81"/>
      <c r="V793" s="81"/>
      <c r="AA793" s="2"/>
    </row>
    <row r="794" ht="12.75" customHeight="1">
      <c r="A794" s="1"/>
      <c r="B794" s="1"/>
      <c r="L794" s="72"/>
      <c r="S794" s="72"/>
      <c r="T794" s="72"/>
      <c r="U794" s="81"/>
      <c r="V794" s="81"/>
      <c r="AA794" s="2"/>
    </row>
    <row r="795" ht="12.75" customHeight="1">
      <c r="A795" s="1"/>
      <c r="B795" s="1"/>
      <c r="L795" s="72"/>
      <c r="S795" s="72"/>
      <c r="T795" s="72"/>
      <c r="U795" s="81"/>
      <c r="V795" s="81"/>
      <c r="AA795" s="2"/>
    </row>
    <row r="796" ht="12.75" customHeight="1">
      <c r="A796" s="1"/>
      <c r="B796" s="1"/>
      <c r="L796" s="72"/>
      <c r="S796" s="72"/>
      <c r="T796" s="72"/>
      <c r="U796" s="81"/>
      <c r="V796" s="81"/>
      <c r="AA796" s="2"/>
    </row>
    <row r="797" ht="12.75" customHeight="1">
      <c r="A797" s="1"/>
      <c r="B797" s="1"/>
      <c r="L797" s="72"/>
      <c r="S797" s="72"/>
      <c r="T797" s="72"/>
      <c r="U797" s="81"/>
      <c r="V797" s="81"/>
      <c r="AA797" s="2"/>
    </row>
    <row r="798" ht="12.75" customHeight="1">
      <c r="A798" s="1"/>
      <c r="B798" s="1"/>
      <c r="L798" s="72"/>
      <c r="S798" s="72"/>
      <c r="T798" s="72"/>
      <c r="U798" s="81"/>
      <c r="V798" s="81"/>
      <c r="AA798" s="2"/>
    </row>
    <row r="799" ht="12.75" customHeight="1">
      <c r="A799" s="1"/>
      <c r="B799" s="1"/>
      <c r="L799" s="72"/>
      <c r="S799" s="72"/>
      <c r="T799" s="72"/>
      <c r="U799" s="81"/>
      <c r="V799" s="81"/>
      <c r="AA799" s="2"/>
    </row>
    <row r="800" ht="12.75" customHeight="1">
      <c r="A800" s="1"/>
      <c r="B800" s="1"/>
      <c r="L800" s="72"/>
      <c r="S800" s="72"/>
      <c r="T800" s="72"/>
      <c r="U800" s="81"/>
      <c r="V800" s="81"/>
      <c r="AA800" s="2"/>
    </row>
    <row r="801" ht="12.75" customHeight="1">
      <c r="A801" s="1"/>
      <c r="B801" s="1"/>
      <c r="L801" s="72"/>
      <c r="S801" s="72"/>
      <c r="T801" s="72"/>
      <c r="U801" s="81"/>
      <c r="V801" s="81"/>
      <c r="AA801" s="2"/>
    </row>
    <row r="802" ht="12.75" customHeight="1">
      <c r="A802" s="1"/>
      <c r="B802" s="1"/>
      <c r="L802" s="72"/>
      <c r="S802" s="72"/>
      <c r="T802" s="72"/>
      <c r="U802" s="81"/>
      <c r="V802" s="81"/>
      <c r="AA802" s="2"/>
    </row>
    <row r="803" ht="12.75" customHeight="1">
      <c r="A803" s="1"/>
      <c r="B803" s="1"/>
      <c r="L803" s="72"/>
      <c r="S803" s="72"/>
      <c r="T803" s="72"/>
      <c r="U803" s="81"/>
      <c r="V803" s="81"/>
      <c r="AA803" s="2"/>
    </row>
    <row r="804" ht="12.75" customHeight="1">
      <c r="A804" s="1"/>
      <c r="B804" s="1"/>
      <c r="L804" s="72"/>
      <c r="S804" s="72"/>
      <c r="T804" s="72"/>
      <c r="U804" s="81"/>
      <c r="V804" s="81"/>
      <c r="AA804" s="2"/>
    </row>
    <row r="805" ht="12.75" customHeight="1">
      <c r="A805" s="1"/>
      <c r="B805" s="1"/>
      <c r="L805" s="72"/>
      <c r="S805" s="72"/>
      <c r="T805" s="72"/>
      <c r="U805" s="81"/>
      <c r="V805" s="81"/>
      <c r="AA805" s="2"/>
    </row>
    <row r="806" ht="12.75" customHeight="1">
      <c r="A806" s="1"/>
      <c r="B806" s="1"/>
      <c r="L806" s="72"/>
      <c r="S806" s="72"/>
      <c r="T806" s="72"/>
      <c r="U806" s="81"/>
      <c r="V806" s="81"/>
      <c r="AA806" s="2"/>
    </row>
    <row r="807" ht="12.75" customHeight="1">
      <c r="A807" s="1"/>
      <c r="B807" s="1"/>
      <c r="L807" s="72"/>
      <c r="S807" s="72"/>
      <c r="T807" s="72"/>
      <c r="U807" s="81"/>
      <c r="V807" s="81"/>
      <c r="AA807" s="2"/>
    </row>
    <row r="808" ht="12.75" customHeight="1">
      <c r="A808" s="1"/>
      <c r="B808" s="1"/>
      <c r="L808" s="72"/>
      <c r="S808" s="72"/>
      <c r="T808" s="72"/>
      <c r="U808" s="81"/>
      <c r="V808" s="81"/>
      <c r="AA808" s="2"/>
    </row>
    <row r="809" ht="12.75" customHeight="1">
      <c r="A809" s="1"/>
      <c r="B809" s="1"/>
      <c r="L809" s="72"/>
      <c r="S809" s="72"/>
      <c r="T809" s="72"/>
      <c r="U809" s="81"/>
      <c r="V809" s="81"/>
      <c r="AA809" s="2"/>
    </row>
    <row r="810" ht="12.75" customHeight="1">
      <c r="A810" s="1"/>
      <c r="B810" s="1"/>
      <c r="L810" s="72"/>
      <c r="S810" s="72"/>
      <c r="T810" s="72"/>
      <c r="U810" s="81"/>
      <c r="V810" s="81"/>
      <c r="AA810" s="2"/>
    </row>
    <row r="811" ht="12.75" customHeight="1">
      <c r="A811" s="1"/>
      <c r="B811" s="1"/>
      <c r="L811" s="72"/>
      <c r="S811" s="72"/>
      <c r="T811" s="72"/>
      <c r="U811" s="81"/>
      <c r="V811" s="81"/>
      <c r="AA811" s="2"/>
    </row>
    <row r="812" ht="12.75" customHeight="1">
      <c r="A812" s="1"/>
      <c r="B812" s="1"/>
      <c r="L812" s="72"/>
      <c r="S812" s="72"/>
      <c r="T812" s="72"/>
      <c r="U812" s="81"/>
      <c r="V812" s="81"/>
      <c r="AA812" s="2"/>
    </row>
    <row r="813" ht="12.75" customHeight="1">
      <c r="A813" s="1"/>
      <c r="B813" s="1"/>
      <c r="L813" s="72"/>
      <c r="S813" s="72"/>
      <c r="T813" s="72"/>
      <c r="U813" s="81"/>
      <c r="V813" s="81"/>
      <c r="AA813" s="2"/>
    </row>
    <row r="814" ht="12.75" customHeight="1">
      <c r="A814" s="1"/>
      <c r="B814" s="1"/>
      <c r="L814" s="72"/>
      <c r="S814" s="72"/>
      <c r="T814" s="72"/>
      <c r="U814" s="81"/>
      <c r="V814" s="81"/>
      <c r="AA814" s="2"/>
    </row>
    <row r="815" ht="12.75" customHeight="1">
      <c r="A815" s="1"/>
      <c r="B815" s="1"/>
      <c r="L815" s="72"/>
      <c r="S815" s="72"/>
      <c r="T815" s="72"/>
      <c r="U815" s="81"/>
      <c r="V815" s="81"/>
      <c r="AA815" s="2"/>
    </row>
    <row r="816" ht="12.75" customHeight="1">
      <c r="A816" s="1"/>
      <c r="B816" s="1"/>
      <c r="L816" s="72"/>
      <c r="S816" s="72"/>
      <c r="T816" s="72"/>
      <c r="U816" s="81"/>
      <c r="V816" s="81"/>
      <c r="AA816" s="2"/>
    </row>
    <row r="817" ht="12.75" customHeight="1">
      <c r="A817" s="1"/>
      <c r="B817" s="1"/>
      <c r="L817" s="72"/>
      <c r="S817" s="72"/>
      <c r="T817" s="72"/>
      <c r="U817" s="81"/>
      <c r="V817" s="81"/>
      <c r="AA817" s="2"/>
    </row>
    <row r="818" ht="12.75" customHeight="1">
      <c r="A818" s="1"/>
      <c r="B818" s="1"/>
      <c r="L818" s="72"/>
      <c r="S818" s="72"/>
      <c r="T818" s="72"/>
      <c r="U818" s="81"/>
      <c r="V818" s="81"/>
      <c r="AA818" s="2"/>
    </row>
    <row r="819" ht="12.75" customHeight="1">
      <c r="A819" s="1"/>
      <c r="B819" s="1"/>
      <c r="L819" s="72"/>
      <c r="S819" s="72"/>
      <c r="T819" s="72"/>
      <c r="U819" s="81"/>
      <c r="V819" s="81"/>
      <c r="AA819" s="2"/>
    </row>
    <row r="820" ht="12.75" customHeight="1">
      <c r="A820" s="1"/>
      <c r="B820" s="1"/>
      <c r="L820" s="72"/>
      <c r="S820" s="72"/>
      <c r="T820" s="72"/>
      <c r="U820" s="81"/>
      <c r="V820" s="81"/>
      <c r="AA820" s="2"/>
    </row>
    <row r="821" ht="12.75" customHeight="1">
      <c r="A821" s="1"/>
      <c r="B821" s="1"/>
      <c r="L821" s="72"/>
      <c r="S821" s="72"/>
      <c r="T821" s="72"/>
      <c r="U821" s="81"/>
      <c r="V821" s="81"/>
      <c r="AA821" s="2"/>
    </row>
    <row r="822" ht="12.75" customHeight="1">
      <c r="A822" s="1"/>
      <c r="B822" s="1"/>
      <c r="L822" s="72"/>
      <c r="S822" s="72"/>
      <c r="T822" s="72"/>
      <c r="U822" s="81"/>
      <c r="V822" s="81"/>
      <c r="AA822" s="2"/>
    </row>
    <row r="823" ht="12.75" customHeight="1">
      <c r="A823" s="1"/>
      <c r="B823" s="1"/>
      <c r="L823" s="72"/>
      <c r="S823" s="72"/>
      <c r="T823" s="72"/>
      <c r="U823" s="81"/>
      <c r="V823" s="81"/>
      <c r="AA823" s="2"/>
    </row>
    <row r="824" ht="12.75" customHeight="1">
      <c r="A824" s="1"/>
      <c r="B824" s="1"/>
      <c r="L824" s="72"/>
      <c r="S824" s="72"/>
      <c r="T824" s="72"/>
      <c r="U824" s="81"/>
      <c r="V824" s="81"/>
      <c r="AA824" s="2"/>
    </row>
    <row r="825" ht="12.75" customHeight="1">
      <c r="A825" s="1"/>
      <c r="B825" s="1"/>
      <c r="L825" s="72"/>
      <c r="S825" s="72"/>
      <c r="T825" s="72"/>
      <c r="U825" s="81"/>
      <c r="V825" s="81"/>
      <c r="AA825" s="2"/>
    </row>
    <row r="826" ht="12.75" customHeight="1">
      <c r="A826" s="1"/>
      <c r="B826" s="1"/>
      <c r="L826" s="72"/>
      <c r="S826" s="72"/>
      <c r="T826" s="72"/>
      <c r="U826" s="81"/>
      <c r="V826" s="81"/>
      <c r="AA826" s="2"/>
    </row>
    <row r="827" ht="12.75" customHeight="1">
      <c r="A827" s="1"/>
      <c r="B827" s="1"/>
      <c r="L827" s="72"/>
      <c r="S827" s="72"/>
      <c r="T827" s="72"/>
      <c r="U827" s="81"/>
      <c r="V827" s="81"/>
      <c r="AA827" s="2"/>
    </row>
    <row r="828" ht="12.75" customHeight="1">
      <c r="A828" s="1"/>
      <c r="B828" s="1"/>
      <c r="L828" s="72"/>
      <c r="S828" s="72"/>
      <c r="T828" s="72"/>
      <c r="U828" s="81"/>
      <c r="V828" s="81"/>
      <c r="AA828" s="2"/>
    </row>
    <row r="829" ht="12.75" customHeight="1">
      <c r="A829" s="1"/>
      <c r="B829" s="1"/>
      <c r="L829" s="72"/>
      <c r="S829" s="72"/>
      <c r="T829" s="72"/>
      <c r="U829" s="81"/>
      <c r="V829" s="81"/>
      <c r="AA829" s="2"/>
    </row>
    <row r="830" ht="12.75" customHeight="1">
      <c r="A830" s="1"/>
      <c r="B830" s="1"/>
      <c r="L830" s="72"/>
      <c r="S830" s="72"/>
      <c r="T830" s="72"/>
      <c r="U830" s="81"/>
      <c r="V830" s="81"/>
      <c r="AA830" s="2"/>
    </row>
    <row r="831" ht="12.75" customHeight="1">
      <c r="A831" s="1"/>
      <c r="B831" s="1"/>
      <c r="L831" s="72"/>
      <c r="S831" s="72"/>
      <c r="T831" s="72"/>
      <c r="U831" s="81"/>
      <c r="V831" s="81"/>
      <c r="AA831" s="2"/>
    </row>
    <row r="832" ht="12.75" customHeight="1">
      <c r="A832" s="1"/>
      <c r="B832" s="1"/>
      <c r="L832" s="72"/>
      <c r="S832" s="72"/>
      <c r="T832" s="72"/>
      <c r="U832" s="81"/>
      <c r="V832" s="81"/>
      <c r="AA832" s="2"/>
    </row>
    <row r="833" ht="12.75" customHeight="1">
      <c r="A833" s="1"/>
      <c r="B833" s="1"/>
      <c r="L833" s="72"/>
      <c r="S833" s="72"/>
      <c r="T833" s="72"/>
      <c r="U833" s="81"/>
      <c r="V833" s="81"/>
      <c r="AA833" s="2"/>
    </row>
    <row r="834" ht="12.75" customHeight="1">
      <c r="A834" s="1"/>
      <c r="B834" s="1"/>
      <c r="L834" s="72"/>
      <c r="S834" s="72"/>
      <c r="T834" s="72"/>
      <c r="U834" s="81"/>
      <c r="V834" s="81"/>
      <c r="AA834" s="2"/>
    </row>
    <row r="835" ht="12.75" customHeight="1">
      <c r="A835" s="1"/>
      <c r="B835" s="1"/>
      <c r="L835" s="72"/>
      <c r="S835" s="72"/>
      <c r="T835" s="72"/>
      <c r="U835" s="81"/>
      <c r="V835" s="81"/>
      <c r="AA835" s="2"/>
    </row>
    <row r="836" ht="12.75" customHeight="1">
      <c r="A836" s="1"/>
      <c r="B836" s="1"/>
      <c r="L836" s="72"/>
      <c r="S836" s="72"/>
      <c r="T836" s="72"/>
      <c r="U836" s="81"/>
      <c r="V836" s="81"/>
      <c r="AA836" s="2"/>
    </row>
    <row r="837" ht="12.75" customHeight="1">
      <c r="A837" s="1"/>
      <c r="B837" s="1"/>
      <c r="L837" s="72"/>
      <c r="S837" s="72"/>
      <c r="T837" s="72"/>
      <c r="U837" s="81"/>
      <c r="V837" s="81"/>
      <c r="AA837" s="2"/>
    </row>
    <row r="838" ht="12.75" customHeight="1">
      <c r="A838" s="1"/>
      <c r="B838" s="1"/>
      <c r="L838" s="72"/>
      <c r="S838" s="72"/>
      <c r="T838" s="72"/>
      <c r="U838" s="81"/>
      <c r="V838" s="81"/>
      <c r="AA838" s="2"/>
    </row>
    <row r="839" ht="12.75" customHeight="1">
      <c r="A839" s="1"/>
      <c r="B839" s="1"/>
      <c r="L839" s="72"/>
      <c r="S839" s="72"/>
      <c r="T839" s="72"/>
      <c r="U839" s="81"/>
      <c r="V839" s="81"/>
      <c r="AA839" s="2"/>
    </row>
    <row r="840" ht="12.75" customHeight="1">
      <c r="A840" s="1"/>
      <c r="B840" s="1"/>
      <c r="L840" s="72"/>
      <c r="S840" s="72"/>
      <c r="T840" s="72"/>
      <c r="U840" s="81"/>
      <c r="V840" s="81"/>
      <c r="AA840" s="2"/>
    </row>
    <row r="841" ht="12.75" customHeight="1">
      <c r="A841" s="1"/>
      <c r="B841" s="1"/>
      <c r="L841" s="72"/>
      <c r="S841" s="72"/>
      <c r="T841" s="72"/>
      <c r="U841" s="81"/>
      <c r="V841" s="81"/>
      <c r="AA841" s="2"/>
    </row>
    <row r="842" ht="12.75" customHeight="1">
      <c r="A842" s="1"/>
      <c r="B842" s="1"/>
      <c r="L842" s="72"/>
      <c r="S842" s="72"/>
      <c r="T842" s="72"/>
      <c r="U842" s="81"/>
      <c r="V842" s="81"/>
      <c r="AA842" s="2"/>
    </row>
    <row r="843" ht="12.75" customHeight="1">
      <c r="A843" s="1"/>
      <c r="B843" s="1"/>
      <c r="L843" s="72"/>
      <c r="S843" s="72"/>
      <c r="T843" s="72"/>
      <c r="U843" s="81"/>
      <c r="V843" s="81"/>
      <c r="AA843" s="2"/>
    </row>
    <row r="844" ht="12.75" customHeight="1">
      <c r="A844" s="1"/>
      <c r="B844" s="1"/>
      <c r="L844" s="72"/>
      <c r="S844" s="72"/>
      <c r="T844" s="72"/>
      <c r="U844" s="81"/>
      <c r="V844" s="81"/>
      <c r="AA844" s="2"/>
    </row>
    <row r="845" ht="12.75" customHeight="1">
      <c r="A845" s="1"/>
      <c r="B845" s="1"/>
      <c r="L845" s="72"/>
      <c r="S845" s="72"/>
      <c r="T845" s="72"/>
      <c r="U845" s="81"/>
      <c r="V845" s="81"/>
      <c r="AA845" s="2"/>
    </row>
    <row r="846" ht="12.75" customHeight="1">
      <c r="A846" s="1"/>
      <c r="B846" s="1"/>
      <c r="L846" s="72"/>
      <c r="S846" s="72"/>
      <c r="T846" s="72"/>
      <c r="U846" s="81"/>
      <c r="V846" s="81"/>
      <c r="AA846" s="2"/>
    </row>
    <row r="847" ht="12.75" customHeight="1">
      <c r="A847" s="1"/>
      <c r="B847" s="1"/>
      <c r="L847" s="72"/>
      <c r="S847" s="72"/>
      <c r="T847" s="72"/>
      <c r="U847" s="81"/>
      <c r="V847" s="81"/>
      <c r="AA847" s="2"/>
    </row>
    <row r="848" ht="12.75" customHeight="1">
      <c r="A848" s="1"/>
      <c r="B848" s="1"/>
      <c r="L848" s="72"/>
      <c r="S848" s="72"/>
      <c r="T848" s="72"/>
      <c r="U848" s="81"/>
      <c r="V848" s="81"/>
      <c r="AA848" s="2"/>
    </row>
    <row r="849" ht="12.75" customHeight="1">
      <c r="A849" s="1"/>
      <c r="B849" s="1"/>
      <c r="L849" s="72"/>
      <c r="S849" s="72"/>
      <c r="T849" s="72"/>
      <c r="U849" s="81"/>
      <c r="V849" s="81"/>
      <c r="AA849" s="2"/>
    </row>
    <row r="850" ht="12.75" customHeight="1">
      <c r="A850" s="1"/>
      <c r="B850" s="1"/>
      <c r="L850" s="72"/>
      <c r="S850" s="72"/>
      <c r="T850" s="72"/>
      <c r="U850" s="81"/>
      <c r="V850" s="81"/>
      <c r="AA850" s="2"/>
    </row>
    <row r="851" ht="12.75" customHeight="1">
      <c r="A851" s="1"/>
      <c r="B851" s="1"/>
      <c r="L851" s="72"/>
      <c r="S851" s="72"/>
      <c r="T851" s="72"/>
      <c r="U851" s="81"/>
      <c r="V851" s="81"/>
      <c r="AA851" s="2"/>
    </row>
    <row r="852" ht="12.75" customHeight="1">
      <c r="A852" s="1"/>
      <c r="B852" s="1"/>
      <c r="L852" s="72"/>
      <c r="S852" s="72"/>
      <c r="T852" s="72"/>
      <c r="U852" s="81"/>
      <c r="V852" s="81"/>
      <c r="AA852" s="2"/>
    </row>
    <row r="853" ht="12.75" customHeight="1">
      <c r="A853" s="1"/>
      <c r="B853" s="1"/>
      <c r="L853" s="72"/>
      <c r="S853" s="72"/>
      <c r="T853" s="72"/>
      <c r="U853" s="81"/>
      <c r="V853" s="81"/>
      <c r="AA853" s="2"/>
    </row>
    <row r="854" ht="12.75" customHeight="1">
      <c r="A854" s="1"/>
      <c r="B854" s="1"/>
      <c r="L854" s="72"/>
      <c r="S854" s="72"/>
      <c r="T854" s="72"/>
      <c r="U854" s="81"/>
      <c r="V854" s="81"/>
      <c r="AA854" s="2"/>
    </row>
    <row r="855" ht="12.75" customHeight="1">
      <c r="A855" s="1"/>
      <c r="B855" s="1"/>
      <c r="L855" s="72"/>
      <c r="S855" s="72"/>
      <c r="T855" s="72"/>
      <c r="U855" s="81"/>
      <c r="V855" s="81"/>
      <c r="AA855" s="2"/>
    </row>
    <row r="856" ht="12.75" customHeight="1">
      <c r="A856" s="1"/>
      <c r="B856" s="1"/>
      <c r="L856" s="72"/>
      <c r="S856" s="72"/>
      <c r="T856" s="72"/>
      <c r="U856" s="81"/>
      <c r="V856" s="81"/>
      <c r="AA856" s="2"/>
    </row>
    <row r="857" ht="12.75" customHeight="1">
      <c r="A857" s="1"/>
      <c r="B857" s="1"/>
      <c r="L857" s="72"/>
      <c r="S857" s="72"/>
      <c r="T857" s="72"/>
      <c r="U857" s="81"/>
      <c r="V857" s="81"/>
      <c r="AA857" s="2"/>
    </row>
    <row r="858" ht="12.75" customHeight="1">
      <c r="A858" s="1"/>
      <c r="B858" s="1"/>
      <c r="L858" s="72"/>
      <c r="S858" s="72"/>
      <c r="T858" s="72"/>
      <c r="U858" s="81"/>
      <c r="V858" s="81"/>
      <c r="AA858" s="2"/>
    </row>
    <row r="859" ht="12.75" customHeight="1">
      <c r="A859" s="1"/>
      <c r="B859" s="1"/>
      <c r="L859" s="72"/>
      <c r="S859" s="72"/>
      <c r="T859" s="72"/>
      <c r="U859" s="81"/>
      <c r="V859" s="81"/>
      <c r="AA859" s="2"/>
    </row>
    <row r="860" ht="12.75" customHeight="1">
      <c r="A860" s="1"/>
      <c r="B860" s="1"/>
      <c r="L860" s="72"/>
      <c r="S860" s="72"/>
      <c r="T860" s="72"/>
      <c r="U860" s="81"/>
      <c r="V860" s="81"/>
      <c r="AA860" s="2"/>
    </row>
    <row r="861" ht="12.75" customHeight="1">
      <c r="A861" s="1"/>
      <c r="B861" s="1"/>
      <c r="L861" s="72"/>
      <c r="S861" s="72"/>
      <c r="T861" s="72"/>
      <c r="U861" s="81"/>
      <c r="V861" s="81"/>
      <c r="AA861" s="2"/>
    </row>
    <row r="862" ht="12.75" customHeight="1">
      <c r="A862" s="1"/>
      <c r="B862" s="1"/>
      <c r="L862" s="72"/>
      <c r="S862" s="72"/>
      <c r="T862" s="72"/>
      <c r="U862" s="81"/>
      <c r="V862" s="81"/>
      <c r="AA862" s="2"/>
    </row>
    <row r="863" ht="12.75" customHeight="1">
      <c r="A863" s="1"/>
      <c r="B863" s="1"/>
      <c r="L863" s="72"/>
      <c r="S863" s="72"/>
      <c r="T863" s="72"/>
      <c r="U863" s="81"/>
      <c r="V863" s="81"/>
      <c r="AA863" s="2"/>
    </row>
    <row r="864" ht="12.75" customHeight="1">
      <c r="A864" s="1"/>
      <c r="B864" s="1"/>
      <c r="L864" s="72"/>
      <c r="S864" s="72"/>
      <c r="T864" s="72"/>
      <c r="U864" s="81"/>
      <c r="V864" s="81"/>
      <c r="AA864" s="2"/>
    </row>
    <row r="865" ht="12.75" customHeight="1">
      <c r="A865" s="1"/>
      <c r="B865" s="1"/>
      <c r="L865" s="72"/>
      <c r="S865" s="72"/>
      <c r="T865" s="72"/>
      <c r="U865" s="81"/>
      <c r="V865" s="81"/>
      <c r="AA865" s="2"/>
    </row>
    <row r="866" ht="12.75" customHeight="1">
      <c r="A866" s="1"/>
      <c r="B866" s="1"/>
      <c r="L866" s="72"/>
      <c r="S866" s="72"/>
      <c r="T866" s="72"/>
      <c r="U866" s="81"/>
      <c r="V866" s="81"/>
      <c r="AA866" s="2"/>
    </row>
    <row r="867" ht="12.75" customHeight="1">
      <c r="A867" s="1"/>
      <c r="B867" s="1"/>
      <c r="L867" s="72"/>
      <c r="S867" s="72"/>
      <c r="T867" s="72"/>
      <c r="U867" s="81"/>
      <c r="V867" s="81"/>
      <c r="AA867" s="2"/>
    </row>
    <row r="868" ht="12.75" customHeight="1">
      <c r="A868" s="1"/>
      <c r="B868" s="1"/>
      <c r="L868" s="72"/>
      <c r="S868" s="72"/>
      <c r="T868" s="72"/>
      <c r="U868" s="81"/>
      <c r="V868" s="81"/>
      <c r="AA868" s="2"/>
    </row>
    <row r="869" ht="12.75" customHeight="1">
      <c r="A869" s="1"/>
      <c r="B869" s="1"/>
      <c r="L869" s="72"/>
      <c r="S869" s="72"/>
      <c r="T869" s="72"/>
      <c r="U869" s="81"/>
      <c r="V869" s="81"/>
      <c r="AA869" s="2"/>
    </row>
    <row r="870" ht="12.75" customHeight="1">
      <c r="A870" s="1"/>
      <c r="B870" s="1"/>
      <c r="L870" s="72"/>
      <c r="S870" s="72"/>
      <c r="T870" s="72"/>
      <c r="U870" s="81"/>
      <c r="V870" s="81"/>
      <c r="AA870" s="2"/>
    </row>
    <row r="871" ht="12.75" customHeight="1">
      <c r="A871" s="1"/>
      <c r="B871" s="1"/>
      <c r="L871" s="72"/>
      <c r="S871" s="72"/>
      <c r="T871" s="72"/>
      <c r="U871" s="81"/>
      <c r="V871" s="81"/>
      <c r="AA871" s="2"/>
    </row>
    <row r="872" ht="12.75" customHeight="1">
      <c r="A872" s="1"/>
      <c r="B872" s="1"/>
      <c r="L872" s="72"/>
      <c r="S872" s="72"/>
      <c r="T872" s="72"/>
      <c r="U872" s="81"/>
      <c r="V872" s="81"/>
      <c r="AA872" s="2"/>
    </row>
    <row r="873" ht="12.75" customHeight="1">
      <c r="A873" s="1"/>
      <c r="B873" s="1"/>
      <c r="L873" s="72"/>
      <c r="S873" s="72"/>
      <c r="T873" s="72"/>
      <c r="U873" s="81"/>
      <c r="V873" s="81"/>
      <c r="AA873" s="2"/>
    </row>
    <row r="874" ht="12.75" customHeight="1">
      <c r="A874" s="1"/>
      <c r="B874" s="1"/>
      <c r="L874" s="72"/>
      <c r="S874" s="72"/>
      <c r="T874" s="72"/>
      <c r="U874" s="81"/>
      <c r="V874" s="81"/>
      <c r="AA874" s="2"/>
    </row>
    <row r="875" ht="12.75" customHeight="1">
      <c r="A875" s="1"/>
      <c r="B875" s="1"/>
      <c r="L875" s="72"/>
      <c r="S875" s="72"/>
      <c r="T875" s="72"/>
      <c r="U875" s="81"/>
      <c r="V875" s="81"/>
      <c r="AA875" s="2"/>
    </row>
    <row r="876" ht="12.75" customHeight="1">
      <c r="A876" s="1"/>
      <c r="B876" s="1"/>
      <c r="L876" s="72"/>
      <c r="S876" s="72"/>
      <c r="T876" s="72"/>
      <c r="U876" s="81"/>
      <c r="V876" s="81"/>
      <c r="AA876" s="2"/>
    </row>
    <row r="877" ht="12.75" customHeight="1">
      <c r="A877" s="1"/>
      <c r="B877" s="1"/>
      <c r="L877" s="72"/>
      <c r="S877" s="72"/>
      <c r="T877" s="72"/>
      <c r="U877" s="81"/>
      <c r="V877" s="81"/>
      <c r="AA877" s="2"/>
    </row>
    <row r="878" ht="12.75" customHeight="1">
      <c r="A878" s="1"/>
      <c r="B878" s="1"/>
      <c r="L878" s="72"/>
      <c r="S878" s="72"/>
      <c r="T878" s="72"/>
      <c r="U878" s="81"/>
      <c r="V878" s="81"/>
      <c r="AA878" s="2"/>
    </row>
    <row r="879" ht="12.75" customHeight="1">
      <c r="A879" s="1"/>
      <c r="B879" s="1"/>
      <c r="L879" s="72"/>
      <c r="S879" s="72"/>
      <c r="T879" s="72"/>
      <c r="U879" s="81"/>
      <c r="V879" s="81"/>
      <c r="AA879" s="2"/>
    </row>
    <row r="880" ht="12.75" customHeight="1">
      <c r="A880" s="1"/>
      <c r="B880" s="1"/>
      <c r="L880" s="72"/>
      <c r="S880" s="72"/>
      <c r="T880" s="72"/>
      <c r="U880" s="81"/>
      <c r="V880" s="81"/>
      <c r="AA880" s="2"/>
    </row>
    <row r="881" ht="12.75" customHeight="1">
      <c r="A881" s="1"/>
      <c r="B881" s="1"/>
      <c r="L881" s="72"/>
      <c r="S881" s="72"/>
      <c r="T881" s="72"/>
      <c r="U881" s="81"/>
      <c r="V881" s="81"/>
      <c r="AA881" s="2"/>
    </row>
    <row r="882" ht="12.75" customHeight="1">
      <c r="A882" s="1"/>
      <c r="B882" s="1"/>
      <c r="L882" s="72"/>
      <c r="S882" s="72"/>
      <c r="T882" s="72"/>
      <c r="U882" s="81"/>
      <c r="V882" s="81"/>
      <c r="AA882" s="2"/>
    </row>
    <row r="883" ht="12.75" customHeight="1">
      <c r="A883" s="1"/>
      <c r="B883" s="1"/>
      <c r="L883" s="72"/>
      <c r="S883" s="72"/>
      <c r="T883" s="72"/>
      <c r="U883" s="81"/>
      <c r="V883" s="81"/>
      <c r="AA883" s="2"/>
    </row>
    <row r="884" ht="12.75" customHeight="1">
      <c r="A884" s="1"/>
      <c r="B884" s="1"/>
      <c r="L884" s="72"/>
      <c r="S884" s="72"/>
      <c r="T884" s="72"/>
      <c r="U884" s="81"/>
      <c r="V884" s="81"/>
      <c r="AA884" s="2"/>
    </row>
    <row r="885" ht="12.75" customHeight="1">
      <c r="A885" s="1"/>
      <c r="B885" s="1"/>
      <c r="L885" s="72"/>
      <c r="S885" s="72"/>
      <c r="T885" s="72"/>
      <c r="U885" s="81"/>
      <c r="V885" s="81"/>
      <c r="AA885" s="2"/>
    </row>
    <row r="886" ht="12.75" customHeight="1">
      <c r="A886" s="1"/>
      <c r="B886" s="1"/>
      <c r="L886" s="72"/>
      <c r="S886" s="72"/>
      <c r="T886" s="72"/>
      <c r="U886" s="81"/>
      <c r="V886" s="81"/>
      <c r="AA886" s="2"/>
    </row>
    <row r="887" ht="12.75" customHeight="1">
      <c r="A887" s="1"/>
      <c r="B887" s="1"/>
      <c r="L887" s="72"/>
      <c r="S887" s="72"/>
      <c r="T887" s="72"/>
      <c r="U887" s="81"/>
      <c r="V887" s="81"/>
      <c r="AA887" s="2"/>
    </row>
    <row r="888" ht="12.75" customHeight="1">
      <c r="A888" s="1"/>
      <c r="B888" s="1"/>
      <c r="L888" s="72"/>
      <c r="S888" s="72"/>
      <c r="T888" s="72"/>
      <c r="U888" s="81"/>
      <c r="V888" s="81"/>
      <c r="AA888" s="2"/>
    </row>
    <row r="889" ht="12.75" customHeight="1">
      <c r="A889" s="1"/>
      <c r="B889" s="1"/>
      <c r="L889" s="72"/>
      <c r="S889" s="72"/>
      <c r="T889" s="72"/>
      <c r="U889" s="81"/>
      <c r="V889" s="81"/>
      <c r="AA889" s="2"/>
    </row>
    <row r="890" ht="12.75" customHeight="1">
      <c r="A890" s="1"/>
      <c r="B890" s="1"/>
      <c r="L890" s="72"/>
      <c r="S890" s="72"/>
      <c r="T890" s="72"/>
      <c r="U890" s="81"/>
      <c r="V890" s="81"/>
      <c r="AA890" s="2"/>
    </row>
    <row r="891" ht="12.75" customHeight="1">
      <c r="A891" s="1"/>
      <c r="B891" s="1"/>
      <c r="L891" s="72"/>
      <c r="S891" s="72"/>
      <c r="T891" s="72"/>
      <c r="U891" s="81"/>
      <c r="V891" s="81"/>
      <c r="AA891" s="2"/>
    </row>
    <row r="892" ht="12.75" customHeight="1">
      <c r="A892" s="1"/>
      <c r="B892" s="1"/>
      <c r="L892" s="72"/>
      <c r="S892" s="72"/>
      <c r="T892" s="72"/>
      <c r="U892" s="81"/>
      <c r="V892" s="81"/>
      <c r="AA892" s="2"/>
    </row>
    <row r="893" ht="12.75" customHeight="1">
      <c r="A893" s="1"/>
      <c r="B893" s="1"/>
      <c r="L893" s="72"/>
      <c r="S893" s="72"/>
      <c r="T893" s="72"/>
      <c r="U893" s="81"/>
      <c r="V893" s="81"/>
      <c r="AA893" s="2"/>
    </row>
    <row r="894" ht="12.75" customHeight="1">
      <c r="A894" s="1"/>
      <c r="B894" s="1"/>
      <c r="L894" s="72"/>
      <c r="S894" s="72"/>
      <c r="T894" s="72"/>
      <c r="U894" s="81"/>
      <c r="V894" s="81"/>
      <c r="AA894" s="2"/>
    </row>
    <row r="895" ht="12.75" customHeight="1">
      <c r="A895" s="1"/>
      <c r="B895" s="1"/>
      <c r="L895" s="72"/>
      <c r="S895" s="72"/>
      <c r="T895" s="72"/>
      <c r="U895" s="81"/>
      <c r="V895" s="81"/>
      <c r="AA895" s="2"/>
    </row>
    <row r="896" ht="12.75" customHeight="1">
      <c r="A896" s="1"/>
      <c r="B896" s="1"/>
      <c r="L896" s="72"/>
      <c r="S896" s="72"/>
      <c r="T896" s="72"/>
      <c r="U896" s="81"/>
      <c r="V896" s="81"/>
      <c r="AA896" s="2"/>
    </row>
    <row r="897" ht="12.75" customHeight="1">
      <c r="A897" s="1"/>
      <c r="B897" s="1"/>
      <c r="L897" s="72"/>
      <c r="S897" s="72"/>
      <c r="T897" s="72"/>
      <c r="U897" s="81"/>
      <c r="V897" s="81"/>
      <c r="AA897" s="2"/>
    </row>
    <row r="898" ht="12.75" customHeight="1">
      <c r="A898" s="1"/>
      <c r="B898" s="1"/>
      <c r="L898" s="72"/>
      <c r="S898" s="72"/>
      <c r="T898" s="72"/>
      <c r="U898" s="81"/>
      <c r="V898" s="81"/>
      <c r="AA898" s="2"/>
    </row>
    <row r="899" ht="12.75" customHeight="1">
      <c r="A899" s="1"/>
      <c r="B899" s="1"/>
      <c r="L899" s="72"/>
      <c r="S899" s="72"/>
      <c r="T899" s="72"/>
      <c r="U899" s="81"/>
      <c r="V899" s="81"/>
      <c r="AA899" s="2"/>
    </row>
    <row r="900" ht="12.75" customHeight="1">
      <c r="A900" s="1"/>
      <c r="B900" s="1"/>
      <c r="L900" s="72"/>
      <c r="S900" s="72"/>
      <c r="T900" s="72"/>
      <c r="U900" s="81"/>
      <c r="V900" s="81"/>
      <c r="AA900" s="2"/>
    </row>
    <row r="901" ht="12.75" customHeight="1">
      <c r="A901" s="1"/>
      <c r="B901" s="1"/>
      <c r="L901" s="72"/>
      <c r="S901" s="72"/>
      <c r="T901" s="72"/>
      <c r="U901" s="81"/>
      <c r="V901" s="81"/>
      <c r="AA901" s="2"/>
    </row>
    <row r="902" ht="12.75" customHeight="1">
      <c r="A902" s="1"/>
      <c r="B902" s="1"/>
      <c r="L902" s="72"/>
      <c r="S902" s="72"/>
      <c r="T902" s="72"/>
      <c r="U902" s="81"/>
      <c r="V902" s="81"/>
      <c r="AA902" s="2"/>
    </row>
    <row r="903" ht="12.75" customHeight="1">
      <c r="A903" s="1"/>
      <c r="B903" s="1"/>
      <c r="L903" s="72"/>
      <c r="S903" s="72"/>
      <c r="T903" s="72"/>
      <c r="U903" s="81"/>
      <c r="V903" s="81"/>
      <c r="AA903" s="2"/>
    </row>
    <row r="904" ht="12.75" customHeight="1">
      <c r="A904" s="1"/>
      <c r="B904" s="1"/>
      <c r="L904" s="72"/>
      <c r="S904" s="72"/>
      <c r="T904" s="72"/>
      <c r="U904" s="81"/>
      <c r="V904" s="81"/>
      <c r="AA904" s="2"/>
    </row>
    <row r="905" ht="12.75" customHeight="1">
      <c r="A905" s="1"/>
      <c r="B905" s="1"/>
      <c r="L905" s="72"/>
      <c r="S905" s="72"/>
      <c r="T905" s="72"/>
      <c r="U905" s="81"/>
      <c r="V905" s="81"/>
      <c r="AA905" s="2"/>
    </row>
    <row r="906" ht="12.75" customHeight="1">
      <c r="A906" s="1"/>
      <c r="B906" s="1"/>
      <c r="L906" s="72"/>
      <c r="S906" s="72"/>
      <c r="T906" s="72"/>
      <c r="U906" s="81"/>
      <c r="V906" s="81"/>
      <c r="AA906" s="2"/>
    </row>
    <row r="907" ht="12.75" customHeight="1">
      <c r="A907" s="1"/>
      <c r="B907" s="1"/>
      <c r="L907" s="72"/>
      <c r="S907" s="72"/>
      <c r="T907" s="72"/>
      <c r="U907" s="81"/>
      <c r="V907" s="81"/>
      <c r="AA907" s="2"/>
    </row>
    <row r="908" ht="12.75" customHeight="1">
      <c r="A908" s="1"/>
      <c r="B908" s="1"/>
      <c r="L908" s="72"/>
      <c r="S908" s="72"/>
      <c r="T908" s="72"/>
      <c r="U908" s="81"/>
      <c r="V908" s="81"/>
      <c r="AA908" s="2"/>
    </row>
    <row r="909" ht="12.75" customHeight="1">
      <c r="A909" s="1"/>
      <c r="B909" s="1"/>
      <c r="L909" s="72"/>
      <c r="S909" s="72"/>
      <c r="T909" s="72"/>
      <c r="U909" s="81"/>
      <c r="V909" s="81"/>
      <c r="AA909" s="2"/>
    </row>
    <row r="910" ht="12.75" customHeight="1">
      <c r="A910" s="1"/>
      <c r="B910" s="1"/>
      <c r="L910" s="72"/>
      <c r="S910" s="72"/>
      <c r="T910" s="72"/>
      <c r="U910" s="81"/>
      <c r="V910" s="81"/>
      <c r="AA910" s="2"/>
    </row>
    <row r="911" ht="12.75" customHeight="1">
      <c r="A911" s="1"/>
      <c r="B911" s="1"/>
      <c r="L911" s="72"/>
      <c r="S911" s="72"/>
      <c r="T911" s="72"/>
      <c r="U911" s="81"/>
      <c r="V911" s="81"/>
      <c r="AA911" s="2"/>
    </row>
    <row r="912" ht="12.75" customHeight="1">
      <c r="A912" s="1"/>
      <c r="B912" s="1"/>
      <c r="L912" s="72"/>
      <c r="S912" s="72"/>
      <c r="T912" s="72"/>
      <c r="U912" s="81"/>
      <c r="V912" s="81"/>
      <c r="AA912" s="2"/>
    </row>
    <row r="913" ht="12.75" customHeight="1">
      <c r="A913" s="1"/>
      <c r="B913" s="1"/>
      <c r="L913" s="72"/>
      <c r="S913" s="72"/>
      <c r="T913" s="72"/>
      <c r="U913" s="81"/>
      <c r="V913" s="81"/>
      <c r="AA913" s="2"/>
    </row>
    <row r="914" ht="12.75" customHeight="1">
      <c r="A914" s="1"/>
      <c r="B914" s="1"/>
      <c r="L914" s="72"/>
      <c r="S914" s="72"/>
      <c r="T914" s="72"/>
      <c r="U914" s="81"/>
      <c r="V914" s="81"/>
      <c r="AA914" s="2"/>
    </row>
    <row r="915" ht="12.75" customHeight="1">
      <c r="A915" s="1"/>
      <c r="B915" s="1"/>
      <c r="L915" s="72"/>
      <c r="S915" s="72"/>
      <c r="T915" s="72"/>
      <c r="U915" s="81"/>
      <c r="V915" s="81"/>
      <c r="AA915" s="2"/>
    </row>
    <row r="916" ht="12.75" customHeight="1">
      <c r="A916" s="1"/>
      <c r="B916" s="1"/>
      <c r="L916" s="72"/>
      <c r="S916" s="72"/>
      <c r="T916" s="72"/>
      <c r="U916" s="81"/>
      <c r="V916" s="81"/>
      <c r="AA916" s="2"/>
    </row>
    <row r="917" ht="12.75" customHeight="1">
      <c r="A917" s="1"/>
      <c r="B917" s="1"/>
      <c r="L917" s="72"/>
      <c r="S917" s="72"/>
      <c r="T917" s="72"/>
      <c r="U917" s="81"/>
      <c r="V917" s="81"/>
      <c r="AA917" s="2"/>
    </row>
    <row r="918" ht="12.75" customHeight="1">
      <c r="A918" s="1"/>
      <c r="B918" s="1"/>
      <c r="L918" s="72"/>
      <c r="S918" s="72"/>
      <c r="T918" s="72"/>
      <c r="U918" s="81"/>
      <c r="V918" s="81"/>
      <c r="AA918" s="2"/>
    </row>
    <row r="919" ht="12.75" customHeight="1">
      <c r="A919" s="1"/>
      <c r="B919" s="1"/>
      <c r="L919" s="72"/>
      <c r="S919" s="72"/>
      <c r="T919" s="72"/>
      <c r="U919" s="81"/>
      <c r="V919" s="81"/>
      <c r="AA919" s="2"/>
    </row>
    <row r="920" ht="12.75" customHeight="1">
      <c r="A920" s="1"/>
      <c r="B920" s="1"/>
      <c r="L920" s="72"/>
      <c r="S920" s="72"/>
      <c r="T920" s="72"/>
      <c r="U920" s="81"/>
      <c r="V920" s="81"/>
      <c r="AA920" s="2"/>
    </row>
    <row r="921" ht="12.75" customHeight="1">
      <c r="A921" s="1"/>
      <c r="B921" s="1"/>
      <c r="L921" s="72"/>
      <c r="S921" s="72"/>
      <c r="T921" s="72"/>
      <c r="U921" s="81"/>
      <c r="V921" s="81"/>
      <c r="AA921" s="2"/>
    </row>
    <row r="922" ht="12.75" customHeight="1">
      <c r="A922" s="1"/>
      <c r="B922" s="1"/>
      <c r="L922" s="72"/>
      <c r="S922" s="72"/>
      <c r="T922" s="72"/>
      <c r="U922" s="81"/>
      <c r="V922" s="81"/>
      <c r="AA922" s="2"/>
    </row>
    <row r="923" ht="12.75" customHeight="1">
      <c r="A923" s="1"/>
      <c r="B923" s="1"/>
      <c r="L923" s="72"/>
      <c r="S923" s="72"/>
      <c r="T923" s="72"/>
      <c r="U923" s="81"/>
      <c r="V923" s="81"/>
      <c r="AA923" s="2"/>
    </row>
    <row r="924" ht="12.75" customHeight="1">
      <c r="A924" s="1"/>
      <c r="B924" s="1"/>
      <c r="L924" s="72"/>
      <c r="S924" s="72"/>
      <c r="T924" s="72"/>
      <c r="U924" s="81"/>
      <c r="V924" s="81"/>
      <c r="AA924" s="2"/>
    </row>
    <row r="925" ht="12.75" customHeight="1">
      <c r="A925" s="1"/>
      <c r="B925" s="1"/>
      <c r="L925" s="72"/>
      <c r="S925" s="72"/>
      <c r="T925" s="72"/>
      <c r="U925" s="81"/>
      <c r="V925" s="81"/>
      <c r="AA925" s="2"/>
    </row>
    <row r="926" ht="12.75" customHeight="1">
      <c r="A926" s="1"/>
      <c r="B926" s="1"/>
      <c r="L926" s="72"/>
      <c r="S926" s="72"/>
      <c r="T926" s="72"/>
      <c r="U926" s="81"/>
      <c r="V926" s="81"/>
      <c r="AA926" s="2"/>
    </row>
    <row r="927" ht="12.75" customHeight="1">
      <c r="A927" s="1"/>
      <c r="B927" s="1"/>
      <c r="L927" s="72"/>
      <c r="S927" s="72"/>
      <c r="T927" s="72"/>
      <c r="U927" s="81"/>
      <c r="V927" s="81"/>
      <c r="AA927" s="2"/>
    </row>
    <row r="928" ht="12.75" customHeight="1">
      <c r="A928" s="1"/>
      <c r="B928" s="1"/>
      <c r="L928" s="72"/>
      <c r="S928" s="72"/>
      <c r="T928" s="72"/>
      <c r="U928" s="81"/>
      <c r="V928" s="81"/>
      <c r="AA928" s="2"/>
    </row>
    <row r="929" ht="12.75" customHeight="1">
      <c r="A929" s="1"/>
      <c r="B929" s="1"/>
      <c r="L929" s="72"/>
      <c r="S929" s="72"/>
      <c r="T929" s="72"/>
      <c r="U929" s="81"/>
      <c r="V929" s="81"/>
      <c r="AA929" s="2"/>
    </row>
    <row r="930" ht="12.75" customHeight="1">
      <c r="A930" s="1"/>
      <c r="B930" s="1"/>
      <c r="L930" s="72"/>
      <c r="S930" s="72"/>
      <c r="T930" s="72"/>
      <c r="U930" s="81"/>
      <c r="V930" s="81"/>
      <c r="AA930" s="2"/>
    </row>
    <row r="931" ht="12.75" customHeight="1">
      <c r="A931" s="1"/>
      <c r="B931" s="1"/>
      <c r="L931" s="72"/>
      <c r="S931" s="72"/>
      <c r="T931" s="72"/>
      <c r="U931" s="81"/>
      <c r="V931" s="81"/>
      <c r="AA931" s="2"/>
    </row>
    <row r="932" ht="12.75" customHeight="1">
      <c r="A932" s="1"/>
      <c r="B932" s="1"/>
      <c r="L932" s="72"/>
      <c r="S932" s="72"/>
      <c r="T932" s="72"/>
      <c r="U932" s="81"/>
      <c r="V932" s="81"/>
      <c r="AA932" s="2"/>
    </row>
    <row r="933" ht="12.75" customHeight="1">
      <c r="A933" s="1"/>
      <c r="B933" s="1"/>
      <c r="L933" s="72"/>
      <c r="S933" s="72"/>
      <c r="T933" s="72"/>
      <c r="U933" s="81"/>
      <c r="V933" s="81"/>
      <c r="AA933" s="2"/>
    </row>
    <row r="934" ht="12.75" customHeight="1">
      <c r="A934" s="1"/>
      <c r="B934" s="1"/>
      <c r="L934" s="72"/>
      <c r="S934" s="72"/>
      <c r="T934" s="72"/>
      <c r="U934" s="81"/>
      <c r="V934" s="81"/>
      <c r="AA934" s="2"/>
    </row>
    <row r="935" ht="12.75" customHeight="1">
      <c r="A935" s="1"/>
      <c r="B935" s="1"/>
      <c r="L935" s="72"/>
      <c r="S935" s="72"/>
      <c r="T935" s="72"/>
      <c r="U935" s="81"/>
      <c r="V935" s="81"/>
      <c r="AA935" s="2"/>
    </row>
    <row r="936" ht="12.75" customHeight="1">
      <c r="A936" s="1"/>
      <c r="B936" s="1"/>
      <c r="L936" s="72"/>
      <c r="S936" s="72"/>
      <c r="T936" s="72"/>
      <c r="U936" s="81"/>
      <c r="V936" s="81"/>
      <c r="AA936" s="2"/>
    </row>
    <row r="937" ht="12.75" customHeight="1">
      <c r="A937" s="1"/>
      <c r="B937" s="1"/>
      <c r="L937" s="72"/>
      <c r="S937" s="72"/>
      <c r="T937" s="72"/>
      <c r="U937" s="81"/>
      <c r="V937" s="81"/>
      <c r="AA937" s="2"/>
    </row>
    <row r="938" ht="12.75" customHeight="1">
      <c r="A938" s="1"/>
      <c r="B938" s="1"/>
      <c r="L938" s="72"/>
      <c r="S938" s="72"/>
      <c r="T938" s="72"/>
      <c r="U938" s="81"/>
      <c r="V938" s="81"/>
      <c r="AA938" s="2"/>
    </row>
    <row r="939" ht="12.75" customHeight="1">
      <c r="A939" s="1"/>
      <c r="B939" s="1"/>
      <c r="L939" s="72"/>
      <c r="S939" s="72"/>
      <c r="T939" s="72"/>
      <c r="U939" s="81"/>
      <c r="V939" s="81"/>
      <c r="AA939" s="2"/>
    </row>
    <row r="940" ht="12.75" customHeight="1">
      <c r="A940" s="1"/>
      <c r="B940" s="1"/>
      <c r="L940" s="72"/>
      <c r="S940" s="72"/>
      <c r="T940" s="72"/>
      <c r="U940" s="81"/>
      <c r="V940" s="81"/>
      <c r="AA940" s="2"/>
    </row>
    <row r="941" ht="12.75" customHeight="1">
      <c r="A941" s="1"/>
      <c r="B941" s="1"/>
      <c r="L941" s="72"/>
      <c r="S941" s="72"/>
      <c r="T941" s="72"/>
      <c r="U941" s="81"/>
      <c r="V941" s="81"/>
      <c r="AA941" s="2"/>
    </row>
    <row r="942" ht="12.75" customHeight="1">
      <c r="A942" s="1"/>
      <c r="B942" s="1"/>
      <c r="L942" s="72"/>
      <c r="S942" s="72"/>
      <c r="T942" s="72"/>
      <c r="U942" s="81"/>
      <c r="V942" s="81"/>
      <c r="AA942" s="2"/>
    </row>
    <row r="943" ht="12.75" customHeight="1">
      <c r="A943" s="1"/>
      <c r="B943" s="1"/>
      <c r="L943" s="72"/>
      <c r="S943" s="72"/>
      <c r="T943" s="72"/>
      <c r="U943" s="81"/>
      <c r="V943" s="81"/>
      <c r="AA943" s="2"/>
    </row>
    <row r="944" ht="12.75" customHeight="1">
      <c r="A944" s="1"/>
      <c r="B944" s="1"/>
      <c r="L944" s="72"/>
      <c r="S944" s="72"/>
      <c r="T944" s="72"/>
      <c r="U944" s="81"/>
      <c r="V944" s="81"/>
      <c r="AA944" s="2"/>
    </row>
    <row r="945" ht="12.75" customHeight="1">
      <c r="A945" s="1"/>
      <c r="B945" s="1"/>
      <c r="L945" s="72"/>
      <c r="S945" s="72"/>
      <c r="T945" s="72"/>
      <c r="U945" s="81"/>
      <c r="V945" s="81"/>
      <c r="AA945" s="2"/>
    </row>
    <row r="946" ht="12.75" customHeight="1">
      <c r="A946" s="1"/>
      <c r="B946" s="1"/>
      <c r="L946" s="72"/>
      <c r="S946" s="72"/>
      <c r="T946" s="72"/>
      <c r="U946" s="81"/>
      <c r="V946" s="81"/>
      <c r="AA946" s="2"/>
    </row>
    <row r="947" ht="12.75" customHeight="1">
      <c r="A947" s="1"/>
      <c r="B947" s="1"/>
      <c r="L947" s="72"/>
      <c r="S947" s="72"/>
      <c r="T947" s="72"/>
      <c r="U947" s="81"/>
      <c r="V947" s="81"/>
      <c r="AA947" s="2"/>
    </row>
    <row r="948" ht="12.75" customHeight="1">
      <c r="A948" s="1"/>
      <c r="B948" s="1"/>
      <c r="L948" s="72"/>
      <c r="S948" s="72"/>
      <c r="T948" s="72"/>
      <c r="U948" s="81"/>
      <c r="V948" s="81"/>
      <c r="AA948" s="2"/>
    </row>
    <row r="949" ht="12.75" customHeight="1">
      <c r="A949" s="1"/>
      <c r="B949" s="1"/>
      <c r="L949" s="72"/>
      <c r="S949" s="72"/>
      <c r="T949" s="72"/>
      <c r="U949" s="81"/>
      <c r="V949" s="81"/>
      <c r="AA949" s="2"/>
    </row>
    <row r="950" ht="12.75" customHeight="1">
      <c r="A950" s="1"/>
      <c r="B950" s="1"/>
      <c r="L950" s="72"/>
      <c r="S950" s="72"/>
      <c r="T950" s="72"/>
      <c r="U950" s="81"/>
      <c r="V950" s="81"/>
      <c r="AA950" s="2"/>
    </row>
    <row r="951" ht="12.75" customHeight="1">
      <c r="A951" s="1"/>
      <c r="B951" s="1"/>
      <c r="L951" s="72"/>
      <c r="S951" s="72"/>
      <c r="T951" s="72"/>
      <c r="U951" s="81"/>
      <c r="V951" s="81"/>
      <c r="AA951" s="2"/>
    </row>
    <row r="952" ht="12.75" customHeight="1">
      <c r="A952" s="1"/>
      <c r="B952" s="1"/>
      <c r="L952" s="72"/>
      <c r="S952" s="72"/>
      <c r="T952" s="72"/>
      <c r="U952" s="81"/>
      <c r="V952" s="81"/>
      <c r="AA952" s="2"/>
    </row>
    <row r="953" ht="12.75" customHeight="1">
      <c r="A953" s="1"/>
      <c r="B953" s="1"/>
      <c r="L953" s="72"/>
      <c r="S953" s="72"/>
      <c r="T953" s="72"/>
      <c r="U953" s="81"/>
      <c r="V953" s="81"/>
      <c r="AA953" s="2"/>
    </row>
    <row r="954" ht="12.75" customHeight="1">
      <c r="A954" s="1"/>
      <c r="B954" s="1"/>
      <c r="L954" s="72"/>
      <c r="S954" s="72"/>
      <c r="T954" s="72"/>
      <c r="U954" s="81"/>
      <c r="V954" s="81"/>
      <c r="AA954" s="2"/>
    </row>
    <row r="955" ht="12.75" customHeight="1">
      <c r="A955" s="1"/>
      <c r="B955" s="1"/>
      <c r="L955" s="72"/>
      <c r="S955" s="72"/>
      <c r="T955" s="72"/>
      <c r="U955" s="81"/>
      <c r="V955" s="81"/>
      <c r="AA955" s="2"/>
    </row>
    <row r="956" ht="12.75" customHeight="1">
      <c r="A956" s="1"/>
      <c r="B956" s="1"/>
      <c r="L956" s="72"/>
      <c r="S956" s="72"/>
      <c r="T956" s="72"/>
      <c r="U956" s="81"/>
      <c r="V956" s="81"/>
      <c r="AA956" s="2"/>
    </row>
    <row r="957" ht="12.75" customHeight="1">
      <c r="A957" s="1"/>
      <c r="B957" s="1"/>
      <c r="L957" s="72"/>
      <c r="S957" s="72"/>
      <c r="T957" s="72"/>
      <c r="U957" s="81"/>
      <c r="V957" s="81"/>
      <c r="AA957" s="2"/>
    </row>
    <row r="958" ht="12.75" customHeight="1">
      <c r="A958" s="1"/>
      <c r="B958" s="1"/>
      <c r="L958" s="72"/>
      <c r="S958" s="72"/>
      <c r="T958" s="72"/>
      <c r="U958" s="81"/>
      <c r="V958" s="81"/>
      <c r="AA958" s="2"/>
    </row>
    <row r="959" ht="12.75" customHeight="1">
      <c r="A959" s="1"/>
      <c r="B959" s="1"/>
      <c r="L959" s="72"/>
      <c r="S959" s="72"/>
      <c r="T959" s="72"/>
      <c r="U959" s="81"/>
      <c r="V959" s="81"/>
      <c r="AA959" s="2"/>
    </row>
    <row r="960" ht="12.75" customHeight="1">
      <c r="A960" s="1"/>
      <c r="B960" s="1"/>
      <c r="L960" s="72"/>
      <c r="S960" s="72"/>
      <c r="T960" s="72"/>
      <c r="U960" s="81"/>
      <c r="V960" s="81"/>
      <c r="AA960" s="2"/>
    </row>
    <row r="961" ht="12.75" customHeight="1">
      <c r="A961" s="1"/>
      <c r="B961" s="1"/>
      <c r="L961" s="72"/>
      <c r="S961" s="72"/>
      <c r="T961" s="72"/>
      <c r="U961" s="81"/>
      <c r="V961" s="81"/>
      <c r="AA961" s="2"/>
    </row>
    <row r="962" ht="12.75" customHeight="1">
      <c r="A962" s="1"/>
      <c r="B962" s="1"/>
      <c r="L962" s="72"/>
      <c r="S962" s="72"/>
      <c r="T962" s="72"/>
      <c r="U962" s="81"/>
      <c r="V962" s="81"/>
      <c r="AA962" s="2"/>
    </row>
    <row r="963" ht="12.75" customHeight="1">
      <c r="A963" s="1"/>
      <c r="B963" s="1"/>
      <c r="L963" s="72"/>
      <c r="S963" s="72"/>
      <c r="T963" s="72"/>
      <c r="U963" s="81"/>
      <c r="V963" s="81"/>
      <c r="AA963" s="2"/>
    </row>
    <row r="964" ht="12.75" customHeight="1">
      <c r="A964" s="1"/>
      <c r="B964" s="1"/>
      <c r="L964" s="72"/>
      <c r="S964" s="72"/>
      <c r="T964" s="72"/>
      <c r="U964" s="81"/>
      <c r="V964" s="81"/>
      <c r="AA964" s="2"/>
    </row>
    <row r="965" ht="12.75" customHeight="1">
      <c r="A965" s="1"/>
      <c r="B965" s="1"/>
      <c r="L965" s="72"/>
      <c r="S965" s="72"/>
      <c r="T965" s="72"/>
      <c r="U965" s="81"/>
      <c r="V965" s="81"/>
      <c r="AA965" s="2"/>
    </row>
    <row r="966" ht="12.75" customHeight="1">
      <c r="A966" s="1"/>
      <c r="B966" s="1"/>
      <c r="L966" s="72"/>
      <c r="S966" s="72"/>
      <c r="T966" s="72"/>
      <c r="U966" s="81"/>
      <c r="V966" s="81"/>
      <c r="AA966" s="2"/>
    </row>
    <row r="967" ht="12.75" customHeight="1">
      <c r="A967" s="1"/>
      <c r="B967" s="1"/>
      <c r="L967" s="72"/>
      <c r="S967" s="72"/>
      <c r="T967" s="72"/>
      <c r="U967" s="81"/>
      <c r="V967" s="81"/>
      <c r="AA967" s="2"/>
    </row>
    <row r="968" ht="12.75" customHeight="1">
      <c r="A968" s="1"/>
      <c r="B968" s="1"/>
      <c r="L968" s="72"/>
      <c r="S968" s="72"/>
      <c r="T968" s="72"/>
      <c r="U968" s="81"/>
      <c r="V968" s="81"/>
      <c r="AA968" s="2"/>
    </row>
    <row r="969" ht="12.75" customHeight="1">
      <c r="A969" s="1"/>
      <c r="B969" s="1"/>
      <c r="L969" s="72"/>
      <c r="S969" s="72"/>
      <c r="T969" s="72"/>
      <c r="U969" s="81"/>
      <c r="V969" s="81"/>
      <c r="AA969" s="2"/>
    </row>
    <row r="970" ht="12.75" customHeight="1">
      <c r="A970" s="1"/>
      <c r="B970" s="1"/>
      <c r="L970" s="72"/>
      <c r="S970" s="72"/>
      <c r="T970" s="72"/>
      <c r="U970" s="81"/>
      <c r="V970" s="81"/>
      <c r="AA970" s="2"/>
    </row>
    <row r="971" ht="12.75" customHeight="1">
      <c r="A971" s="1"/>
      <c r="B971" s="1"/>
      <c r="L971" s="72"/>
      <c r="S971" s="72"/>
      <c r="T971" s="72"/>
      <c r="U971" s="81"/>
      <c r="V971" s="81"/>
      <c r="AA971" s="2"/>
    </row>
    <row r="972" ht="12.75" customHeight="1">
      <c r="A972" s="1"/>
      <c r="B972" s="1"/>
      <c r="L972" s="72"/>
      <c r="S972" s="72"/>
      <c r="T972" s="72"/>
      <c r="U972" s="81"/>
      <c r="V972" s="81"/>
      <c r="AA972" s="2"/>
    </row>
    <row r="973" ht="12.75" customHeight="1">
      <c r="A973" s="1"/>
      <c r="B973" s="1"/>
      <c r="L973" s="72"/>
      <c r="S973" s="72"/>
      <c r="T973" s="72"/>
      <c r="U973" s="81"/>
      <c r="V973" s="81"/>
      <c r="AA973" s="2"/>
    </row>
    <row r="974" ht="12.75" customHeight="1">
      <c r="A974" s="1"/>
      <c r="B974" s="1"/>
      <c r="L974" s="72"/>
      <c r="S974" s="72"/>
      <c r="T974" s="72"/>
      <c r="U974" s="81"/>
      <c r="V974" s="81"/>
      <c r="AA974" s="2"/>
    </row>
    <row r="975" ht="12.75" customHeight="1">
      <c r="A975" s="1"/>
      <c r="B975" s="1"/>
      <c r="L975" s="72"/>
      <c r="S975" s="72"/>
      <c r="T975" s="72"/>
      <c r="U975" s="81"/>
      <c r="V975" s="81"/>
      <c r="AA975" s="2"/>
    </row>
    <row r="976" ht="12.75" customHeight="1">
      <c r="A976" s="1"/>
      <c r="B976" s="1"/>
      <c r="L976" s="72"/>
      <c r="S976" s="72"/>
      <c r="T976" s="72"/>
      <c r="U976" s="81"/>
      <c r="V976" s="81"/>
      <c r="AA976" s="2"/>
    </row>
    <row r="977" ht="12.75" customHeight="1">
      <c r="A977" s="1"/>
      <c r="B977" s="1"/>
      <c r="L977" s="72"/>
      <c r="S977" s="72"/>
      <c r="T977" s="72"/>
      <c r="U977" s="81"/>
      <c r="V977" s="81"/>
      <c r="AA977" s="2"/>
    </row>
    <row r="978" ht="12.75" customHeight="1">
      <c r="A978" s="1"/>
      <c r="B978" s="1"/>
      <c r="L978" s="72"/>
      <c r="S978" s="72"/>
      <c r="T978" s="72"/>
      <c r="U978" s="81"/>
      <c r="V978" s="81"/>
      <c r="AA978" s="2"/>
    </row>
    <row r="979" ht="12.75" customHeight="1">
      <c r="A979" s="1"/>
      <c r="B979" s="1"/>
      <c r="L979" s="72"/>
      <c r="S979" s="72"/>
      <c r="T979" s="72"/>
      <c r="U979" s="81"/>
      <c r="V979" s="81"/>
      <c r="AA979" s="2"/>
    </row>
    <row r="980" ht="12.75" customHeight="1">
      <c r="A980" s="1"/>
      <c r="B980" s="1"/>
      <c r="L980" s="72"/>
      <c r="S980" s="72"/>
      <c r="T980" s="72"/>
      <c r="U980" s="81"/>
      <c r="V980" s="81"/>
      <c r="AA980" s="2"/>
    </row>
    <row r="981" ht="12.75" customHeight="1">
      <c r="A981" s="1"/>
      <c r="B981" s="1"/>
      <c r="L981" s="72"/>
      <c r="S981" s="72"/>
      <c r="T981" s="72"/>
      <c r="U981" s="81"/>
      <c r="V981" s="81"/>
      <c r="AA981" s="2"/>
    </row>
    <row r="982" ht="12.75" customHeight="1">
      <c r="A982" s="1"/>
      <c r="B982" s="1"/>
      <c r="L982" s="72"/>
      <c r="S982" s="72"/>
      <c r="T982" s="72"/>
      <c r="U982" s="81"/>
      <c r="V982" s="81"/>
      <c r="AA982" s="2"/>
    </row>
    <row r="983" ht="12.75" customHeight="1">
      <c r="A983" s="1"/>
      <c r="B983" s="1"/>
      <c r="L983" s="72"/>
      <c r="S983" s="72"/>
      <c r="T983" s="72"/>
      <c r="U983" s="81"/>
      <c r="V983" s="81"/>
      <c r="AA983" s="2"/>
    </row>
    <row r="984" ht="12.75" customHeight="1">
      <c r="A984" s="1"/>
      <c r="B984" s="1"/>
      <c r="L984" s="72"/>
      <c r="S984" s="72"/>
      <c r="T984" s="72"/>
      <c r="U984" s="81"/>
      <c r="V984" s="81"/>
      <c r="AA984" s="2"/>
    </row>
    <row r="985" ht="12.75" customHeight="1">
      <c r="A985" s="1"/>
      <c r="B985" s="1"/>
      <c r="L985" s="72"/>
      <c r="S985" s="72"/>
      <c r="T985" s="72"/>
      <c r="U985" s="81"/>
      <c r="V985" s="81"/>
      <c r="AA985" s="2"/>
    </row>
    <row r="986" ht="12.75" customHeight="1">
      <c r="A986" s="1"/>
      <c r="B986" s="1"/>
      <c r="L986" s="72"/>
      <c r="S986" s="72"/>
      <c r="T986" s="72"/>
      <c r="U986" s="81"/>
      <c r="V986" s="81"/>
      <c r="AA986" s="2"/>
    </row>
    <row r="987" ht="12.75" customHeight="1">
      <c r="A987" s="1"/>
      <c r="B987" s="1"/>
      <c r="L987" s="72"/>
      <c r="S987" s="72"/>
      <c r="T987" s="72"/>
      <c r="U987" s="81"/>
      <c r="V987" s="81"/>
      <c r="AA987" s="2"/>
    </row>
    <row r="988" ht="12.75" customHeight="1">
      <c r="A988" s="1"/>
      <c r="B988" s="1"/>
      <c r="L988" s="72"/>
      <c r="S988" s="72"/>
      <c r="T988" s="72"/>
      <c r="U988" s="81"/>
      <c r="V988" s="81"/>
      <c r="AA988" s="2"/>
    </row>
    <row r="989" ht="12.75" customHeight="1">
      <c r="A989" s="1"/>
      <c r="B989" s="1"/>
      <c r="L989" s="72"/>
      <c r="S989" s="72"/>
      <c r="T989" s="72"/>
      <c r="U989" s="81"/>
      <c r="V989" s="81"/>
      <c r="AA989" s="2"/>
    </row>
    <row r="990" ht="12.75" customHeight="1">
      <c r="A990" s="1"/>
      <c r="B990" s="1"/>
      <c r="L990" s="72"/>
      <c r="S990" s="72"/>
      <c r="T990" s="72"/>
      <c r="U990" s="81"/>
      <c r="V990" s="81"/>
      <c r="AA990" s="2"/>
    </row>
    <row r="991" ht="12.75" customHeight="1">
      <c r="A991" s="1"/>
      <c r="B991" s="1"/>
      <c r="L991" s="72"/>
      <c r="S991" s="72"/>
      <c r="T991" s="72"/>
      <c r="U991" s="81"/>
      <c r="V991" s="81"/>
      <c r="AA991" s="2"/>
    </row>
    <row r="992" ht="12.75" customHeight="1">
      <c r="A992" s="1"/>
      <c r="B992" s="1"/>
      <c r="L992" s="72"/>
      <c r="S992" s="72"/>
      <c r="T992" s="72"/>
      <c r="U992" s="81"/>
      <c r="V992" s="81"/>
      <c r="AA992" s="2"/>
    </row>
    <row r="993" ht="12.75" customHeight="1">
      <c r="A993" s="1"/>
      <c r="B993" s="1"/>
      <c r="L993" s="72"/>
      <c r="S993" s="72"/>
      <c r="T993" s="72"/>
      <c r="U993" s="81"/>
      <c r="V993" s="81"/>
      <c r="AA993" s="2"/>
    </row>
    <row r="994" ht="12.75" customHeight="1">
      <c r="A994" s="1"/>
      <c r="B994" s="1"/>
      <c r="L994" s="72"/>
      <c r="S994" s="72"/>
      <c r="T994" s="72"/>
      <c r="U994" s="81"/>
      <c r="V994" s="81"/>
      <c r="AA994" s="2"/>
    </row>
    <row r="995" ht="12.75" customHeight="1">
      <c r="A995" s="1"/>
      <c r="B995" s="1"/>
      <c r="L995" s="72"/>
      <c r="S995" s="72"/>
      <c r="T995" s="72"/>
      <c r="U995" s="81"/>
      <c r="V995" s="81"/>
      <c r="AA995" s="2"/>
    </row>
    <row r="996" ht="12.75" customHeight="1">
      <c r="A996" s="1"/>
      <c r="B996" s="1"/>
      <c r="L996" s="72"/>
      <c r="S996" s="72"/>
      <c r="T996" s="72"/>
      <c r="U996" s="81"/>
      <c r="V996" s="81"/>
      <c r="AA996" s="2"/>
    </row>
    <row r="997" ht="12.75" customHeight="1">
      <c r="A997" s="1"/>
      <c r="B997" s="1"/>
      <c r="L997" s="72"/>
      <c r="S997" s="72"/>
      <c r="T997" s="72"/>
      <c r="U997" s="81"/>
      <c r="V997" s="81"/>
      <c r="AA997" s="2"/>
    </row>
    <row r="998" ht="12.75" customHeight="1">
      <c r="A998" s="1"/>
      <c r="B998" s="1"/>
      <c r="L998" s="72"/>
      <c r="S998" s="72"/>
      <c r="T998" s="72"/>
      <c r="U998" s="81"/>
      <c r="V998" s="81"/>
      <c r="AA998" s="2"/>
    </row>
    <row r="999" ht="12.75" customHeight="1">
      <c r="A999" s="1"/>
      <c r="B999" s="1"/>
      <c r="L999" s="72"/>
      <c r="S999" s="72"/>
      <c r="T999" s="72"/>
      <c r="U999" s="81"/>
      <c r="V999" s="81"/>
      <c r="AA999" s="2"/>
    </row>
    <row r="1000" ht="12.75" customHeight="1">
      <c r="A1000" s="1"/>
      <c r="B1000" s="1"/>
      <c r="L1000" s="72"/>
      <c r="S1000" s="72"/>
      <c r="T1000" s="72"/>
      <c r="U1000" s="81"/>
      <c r="V1000" s="81"/>
      <c r="AA1000" s="2"/>
    </row>
    <row r="1001" ht="12.75" customHeight="1">
      <c r="A1001" s="1"/>
      <c r="B1001" s="1"/>
      <c r="L1001" s="72"/>
      <c r="S1001" s="72"/>
      <c r="T1001" s="72"/>
      <c r="U1001" s="81"/>
      <c r="V1001" s="81"/>
      <c r="AA1001" s="2"/>
    </row>
    <row r="1002" ht="12.75" customHeight="1">
      <c r="A1002" s="1"/>
      <c r="B1002" s="1"/>
      <c r="L1002" s="72"/>
      <c r="S1002" s="72"/>
      <c r="T1002" s="72"/>
      <c r="U1002" s="81"/>
      <c r="V1002" s="81"/>
      <c r="AA1002" s="2"/>
    </row>
    <row r="1003" ht="12.75" customHeight="1">
      <c r="A1003" s="1"/>
      <c r="B1003" s="1"/>
      <c r="L1003" s="72"/>
      <c r="S1003" s="72"/>
      <c r="T1003" s="72"/>
      <c r="U1003" s="81"/>
      <c r="V1003" s="81"/>
      <c r="AA1003" s="2"/>
    </row>
    <row r="1004" ht="12.75" customHeight="1">
      <c r="A1004" s="1"/>
      <c r="B1004" s="1"/>
      <c r="L1004" s="72"/>
      <c r="S1004" s="72"/>
      <c r="T1004" s="72"/>
      <c r="U1004" s="81"/>
      <c r="V1004" s="81"/>
      <c r="AA1004" s="2"/>
    </row>
    <row r="1005" ht="12.75" customHeight="1">
      <c r="A1005" s="1"/>
      <c r="B1005" s="1"/>
      <c r="L1005" s="72"/>
      <c r="S1005" s="72"/>
      <c r="T1005" s="72"/>
      <c r="U1005" s="81"/>
      <c r="V1005" s="81"/>
      <c r="AA1005" s="2"/>
    </row>
    <row r="1006" ht="12.75" customHeight="1">
      <c r="A1006" s="1"/>
      <c r="B1006" s="1"/>
      <c r="L1006" s="72"/>
      <c r="S1006" s="72"/>
      <c r="T1006" s="72"/>
      <c r="U1006" s="81"/>
      <c r="V1006" s="81"/>
      <c r="AA1006" s="2"/>
    </row>
    <row r="1007" ht="12.75" customHeight="1">
      <c r="A1007" s="1"/>
      <c r="B1007" s="1"/>
      <c r="L1007" s="72"/>
      <c r="S1007" s="72"/>
      <c r="T1007" s="72"/>
      <c r="U1007" s="81"/>
      <c r="V1007" s="81"/>
      <c r="AA1007" s="2"/>
    </row>
    <row r="1008" ht="12.75" customHeight="1">
      <c r="A1008" s="1"/>
      <c r="B1008" s="1"/>
      <c r="L1008" s="72"/>
      <c r="S1008" s="72"/>
      <c r="T1008" s="72"/>
      <c r="U1008" s="81"/>
      <c r="V1008" s="81"/>
      <c r="AA1008" s="2"/>
    </row>
    <row r="1009" ht="12.75" customHeight="1">
      <c r="A1009" s="1"/>
      <c r="B1009" s="1"/>
      <c r="L1009" s="72"/>
      <c r="S1009" s="72"/>
      <c r="T1009" s="72"/>
      <c r="U1009" s="81"/>
      <c r="V1009" s="81"/>
      <c r="AA1009" s="2"/>
    </row>
    <row r="1010" ht="12.75" customHeight="1">
      <c r="A1010" s="1"/>
      <c r="B1010" s="1"/>
      <c r="L1010" s="72"/>
      <c r="S1010" s="72"/>
      <c r="T1010" s="72"/>
      <c r="U1010" s="81"/>
      <c r="V1010" s="81"/>
      <c r="AA1010" s="2"/>
    </row>
    <row r="1011" ht="12.75" customHeight="1">
      <c r="A1011" s="1"/>
      <c r="B1011" s="1"/>
      <c r="L1011" s="72"/>
      <c r="S1011" s="72"/>
      <c r="T1011" s="72"/>
      <c r="U1011" s="81"/>
      <c r="V1011" s="81"/>
      <c r="AA1011" s="2"/>
    </row>
    <row r="1012" ht="12.75" customHeight="1">
      <c r="A1012" s="1"/>
      <c r="B1012" s="1"/>
      <c r="L1012" s="72"/>
      <c r="S1012" s="72"/>
      <c r="T1012" s="72"/>
      <c r="U1012" s="81"/>
      <c r="V1012" s="81"/>
      <c r="AA1012" s="2"/>
    </row>
    <row r="1013" ht="12.75" customHeight="1">
      <c r="A1013" s="1"/>
      <c r="B1013" s="1"/>
      <c r="L1013" s="72"/>
      <c r="S1013" s="72"/>
      <c r="T1013" s="72"/>
      <c r="U1013" s="81"/>
      <c r="V1013" s="81"/>
      <c r="AA1013" s="2"/>
    </row>
    <row r="1014" ht="12.75" customHeight="1">
      <c r="A1014" s="1"/>
      <c r="B1014" s="1"/>
      <c r="L1014" s="72"/>
      <c r="S1014" s="72"/>
      <c r="T1014" s="72"/>
      <c r="U1014" s="81"/>
      <c r="V1014" s="81"/>
      <c r="AA1014" s="2"/>
    </row>
    <row r="1015" ht="12.75" customHeight="1">
      <c r="A1015" s="1"/>
      <c r="B1015" s="1"/>
      <c r="L1015" s="72"/>
      <c r="S1015" s="72"/>
      <c r="T1015" s="72"/>
      <c r="U1015" s="81"/>
      <c r="V1015" s="81"/>
      <c r="AA1015" s="2"/>
    </row>
    <row r="1016" ht="12.75" customHeight="1">
      <c r="A1016" s="1"/>
      <c r="B1016" s="1"/>
      <c r="L1016" s="72"/>
      <c r="S1016" s="72"/>
      <c r="T1016" s="72"/>
      <c r="U1016" s="81"/>
      <c r="V1016" s="81"/>
      <c r="AA1016" s="2"/>
    </row>
    <row r="1017" ht="12.75" customHeight="1">
      <c r="A1017" s="1"/>
      <c r="B1017" s="1"/>
      <c r="L1017" s="72"/>
      <c r="S1017" s="72"/>
      <c r="T1017" s="72"/>
      <c r="U1017" s="81"/>
      <c r="V1017" s="81"/>
      <c r="AA1017" s="2"/>
    </row>
    <row r="1018" ht="12.75" customHeight="1">
      <c r="A1018" s="1"/>
      <c r="B1018" s="1"/>
      <c r="L1018" s="72"/>
      <c r="S1018" s="72"/>
      <c r="T1018" s="72"/>
      <c r="U1018" s="81"/>
      <c r="V1018" s="81"/>
      <c r="AA1018" s="2"/>
    </row>
    <row r="1019" ht="12.75" customHeight="1">
      <c r="A1019" s="1"/>
      <c r="B1019" s="1"/>
      <c r="L1019" s="72"/>
      <c r="S1019" s="72"/>
      <c r="T1019" s="72"/>
      <c r="U1019" s="81"/>
      <c r="V1019" s="81"/>
      <c r="AA1019" s="2"/>
    </row>
    <row r="1020" ht="12.75" customHeight="1">
      <c r="A1020" s="1"/>
      <c r="B1020" s="1"/>
      <c r="L1020" s="72"/>
      <c r="S1020" s="72"/>
      <c r="T1020" s="72"/>
      <c r="U1020" s="81"/>
      <c r="V1020" s="81"/>
      <c r="AA1020" s="2"/>
    </row>
    <row r="1021" ht="12.75" customHeight="1">
      <c r="A1021" s="1"/>
      <c r="B1021" s="1"/>
      <c r="L1021" s="72"/>
      <c r="S1021" s="72"/>
      <c r="T1021" s="72"/>
      <c r="U1021" s="81"/>
      <c r="V1021" s="81"/>
      <c r="AA1021" s="2"/>
    </row>
    <row r="1022" ht="12.75" customHeight="1">
      <c r="A1022" s="1"/>
      <c r="B1022" s="1"/>
      <c r="L1022" s="72"/>
      <c r="S1022" s="72"/>
      <c r="T1022" s="72"/>
      <c r="U1022" s="81"/>
      <c r="V1022" s="81"/>
      <c r="AA1022" s="2"/>
    </row>
    <row r="1023" ht="12.75" customHeight="1">
      <c r="A1023" s="1"/>
      <c r="B1023" s="1"/>
      <c r="L1023" s="72"/>
      <c r="S1023" s="72"/>
      <c r="T1023" s="72"/>
      <c r="U1023" s="81"/>
      <c r="V1023" s="81"/>
      <c r="AA1023" s="2"/>
    </row>
    <row r="1024" ht="12.75" customHeight="1">
      <c r="A1024" s="1"/>
      <c r="B1024" s="1"/>
      <c r="L1024" s="72"/>
      <c r="S1024" s="72"/>
      <c r="T1024" s="72"/>
      <c r="U1024" s="81"/>
      <c r="V1024" s="81"/>
      <c r="AA1024" s="2"/>
    </row>
    <row r="1025" ht="12.75" customHeight="1">
      <c r="A1025" s="1"/>
      <c r="B1025" s="1"/>
      <c r="L1025" s="72"/>
      <c r="S1025" s="72"/>
      <c r="T1025" s="72"/>
      <c r="U1025" s="81"/>
      <c r="V1025" s="81"/>
      <c r="AA1025" s="2"/>
    </row>
    <row r="1026" ht="12.75" customHeight="1">
      <c r="A1026" s="1"/>
      <c r="B1026" s="1"/>
      <c r="L1026" s="72"/>
      <c r="S1026" s="72"/>
      <c r="T1026" s="72"/>
      <c r="U1026" s="81"/>
      <c r="V1026" s="81"/>
      <c r="AA1026" s="2"/>
    </row>
    <row r="1027" ht="12.75" customHeight="1">
      <c r="A1027" s="1"/>
      <c r="B1027" s="1"/>
      <c r="L1027" s="72"/>
      <c r="S1027" s="72"/>
      <c r="T1027" s="72"/>
      <c r="U1027" s="81"/>
      <c r="V1027" s="81"/>
      <c r="AA1027" s="2"/>
    </row>
    <row r="1028" ht="12.75" customHeight="1">
      <c r="A1028" s="1"/>
      <c r="B1028" s="1"/>
      <c r="L1028" s="72"/>
      <c r="S1028" s="72"/>
      <c r="T1028" s="72"/>
      <c r="U1028" s="81"/>
      <c r="V1028" s="81"/>
      <c r="AA1028" s="2"/>
    </row>
    <row r="1029" ht="12.75" customHeight="1">
      <c r="A1029" s="1"/>
      <c r="B1029" s="1"/>
      <c r="L1029" s="72"/>
      <c r="S1029" s="72"/>
      <c r="T1029" s="72"/>
      <c r="U1029" s="81"/>
      <c r="V1029" s="81"/>
      <c r="AA1029" s="2"/>
    </row>
    <row r="1030" ht="12.75" customHeight="1">
      <c r="A1030" s="1"/>
      <c r="B1030" s="1"/>
      <c r="L1030" s="72"/>
      <c r="S1030" s="72"/>
      <c r="T1030" s="72"/>
      <c r="U1030" s="81"/>
      <c r="V1030" s="81"/>
      <c r="AA1030" s="2"/>
    </row>
    <row r="1031" ht="12.75" customHeight="1">
      <c r="A1031" s="1"/>
      <c r="B1031" s="1"/>
      <c r="L1031" s="72"/>
      <c r="S1031" s="72"/>
      <c r="T1031" s="72"/>
      <c r="U1031" s="81"/>
      <c r="V1031" s="81"/>
      <c r="AA1031" s="2"/>
    </row>
    <row r="1032" ht="12.75" customHeight="1">
      <c r="A1032" s="1"/>
      <c r="B1032" s="1"/>
      <c r="L1032" s="72"/>
      <c r="S1032" s="72"/>
      <c r="T1032" s="72"/>
      <c r="U1032" s="81"/>
      <c r="V1032" s="81"/>
      <c r="AA1032" s="2"/>
    </row>
    <row r="1033" ht="12.75" customHeight="1">
      <c r="A1033" s="1"/>
      <c r="B1033" s="1"/>
      <c r="L1033" s="72"/>
      <c r="S1033" s="72"/>
      <c r="T1033" s="72"/>
      <c r="U1033" s="81"/>
      <c r="V1033" s="81"/>
      <c r="AA1033" s="2"/>
    </row>
    <row r="1034" ht="12.75" customHeight="1">
      <c r="A1034" s="1"/>
      <c r="B1034" s="1"/>
      <c r="L1034" s="72"/>
      <c r="S1034" s="72"/>
      <c r="T1034" s="72"/>
      <c r="U1034" s="81"/>
      <c r="V1034" s="81"/>
      <c r="AA1034" s="2"/>
    </row>
    <row r="1035" ht="12.75" customHeight="1">
      <c r="A1035" s="1"/>
      <c r="B1035" s="1"/>
      <c r="L1035" s="72"/>
      <c r="S1035" s="72"/>
      <c r="T1035" s="72"/>
      <c r="U1035" s="81"/>
      <c r="V1035" s="81"/>
      <c r="AA1035" s="2"/>
    </row>
    <row r="1036" ht="12.75" customHeight="1">
      <c r="A1036" s="1"/>
      <c r="B1036" s="1"/>
      <c r="L1036" s="72"/>
      <c r="S1036" s="72"/>
      <c r="T1036" s="72"/>
      <c r="U1036" s="81"/>
      <c r="V1036" s="81"/>
      <c r="AA1036" s="2"/>
    </row>
    <row r="1037" ht="12.75" customHeight="1">
      <c r="A1037" s="1"/>
      <c r="B1037" s="1"/>
      <c r="L1037" s="72"/>
      <c r="S1037" s="72"/>
      <c r="T1037" s="72"/>
      <c r="U1037" s="81"/>
      <c r="V1037" s="81"/>
      <c r="AA1037" s="2"/>
    </row>
    <row r="1038" ht="12.75" customHeight="1">
      <c r="A1038" s="1"/>
      <c r="B1038" s="1"/>
      <c r="L1038" s="72"/>
      <c r="S1038" s="72"/>
      <c r="T1038" s="72"/>
      <c r="U1038" s="81"/>
      <c r="V1038" s="81"/>
      <c r="AA1038" s="2"/>
    </row>
    <row r="1039" ht="12.75" customHeight="1">
      <c r="A1039" s="1"/>
      <c r="B1039" s="1"/>
      <c r="L1039" s="72"/>
      <c r="S1039" s="72"/>
      <c r="T1039" s="72"/>
      <c r="U1039" s="81"/>
      <c r="V1039" s="81"/>
      <c r="AA1039" s="2"/>
    </row>
    <row r="1040" ht="12.75" customHeight="1">
      <c r="A1040" s="1"/>
      <c r="B1040" s="1"/>
      <c r="L1040" s="72"/>
      <c r="S1040" s="72"/>
      <c r="T1040" s="72"/>
      <c r="U1040" s="81"/>
      <c r="V1040" s="81"/>
      <c r="AA1040" s="2"/>
    </row>
  </sheetData>
  <mergeCells count="36">
    <mergeCell ref="K25:L25"/>
    <mergeCell ref="O25:P25"/>
    <mergeCell ref="AG3:AH3"/>
    <mergeCell ref="AG13:AH13"/>
    <mergeCell ref="D23:E23"/>
    <mergeCell ref="J23:K23"/>
    <mergeCell ref="P23:Q23"/>
    <mergeCell ref="AG23:AH23"/>
    <mergeCell ref="C25:D25"/>
    <mergeCell ref="Q25:R25"/>
    <mergeCell ref="E25:F25"/>
    <mergeCell ref="I25:J25"/>
    <mergeCell ref="E45:F45"/>
    <mergeCell ref="I45:J45"/>
    <mergeCell ref="K45:L45"/>
    <mergeCell ref="O45:P45"/>
    <mergeCell ref="Q45:R45"/>
    <mergeCell ref="C45:D45"/>
    <mergeCell ref="C65:D65"/>
    <mergeCell ref="E65:F65"/>
    <mergeCell ref="I65:J65"/>
    <mergeCell ref="K65:L65"/>
    <mergeCell ref="O65:P65"/>
    <mergeCell ref="Q65:R65"/>
    <mergeCell ref="E105:F105"/>
    <mergeCell ref="I105:J105"/>
    <mergeCell ref="K105:L105"/>
    <mergeCell ref="O105:P105"/>
    <mergeCell ref="C85:D85"/>
    <mergeCell ref="E85:F85"/>
    <mergeCell ref="I85:J85"/>
    <mergeCell ref="K85:L85"/>
    <mergeCell ref="O85:P85"/>
    <mergeCell ref="Q85:R85"/>
    <mergeCell ref="C105:D105"/>
    <mergeCell ref="Q105:R105"/>
  </mergeCells>
  <printOptions/>
  <pageMargins bottom="0.7875" footer="0.0" header="0.0" left="0.7875" right="0.787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0" max="67" width="3.88"/>
  </cols>
  <sheetData>
    <row r="2">
      <c r="B2" s="56" t="s">
        <v>66</v>
      </c>
      <c r="C2" s="56" t="s">
        <v>67</v>
      </c>
      <c r="D2" s="56" t="s">
        <v>68</v>
      </c>
      <c r="K2" s="84" t="s">
        <v>69</v>
      </c>
      <c r="L2" s="85"/>
      <c r="N2" s="84" t="s">
        <v>70</v>
      </c>
      <c r="O2" s="85"/>
    </row>
    <row r="3">
      <c r="A3" s="86">
        <v>1.0</v>
      </c>
      <c r="B3" s="87" t="str">
        <f>Pool_1!AH4</f>
        <v>Tim the Burgundy Enchanter</v>
      </c>
      <c r="C3" s="87" t="str">
        <f>Pool_2!AH4</f>
        <v>Jesse</v>
      </c>
      <c r="D3" s="87" t="str">
        <f>Pool_3!AH4</f>
        <v>Berend</v>
      </c>
      <c r="K3" s="88" t="str">
        <f>Pool_1!AH6</f>
        <v>Teun</v>
      </c>
      <c r="L3" s="89">
        <f>Pool_1!AG6</f>
        <v>0.942</v>
      </c>
      <c r="N3" s="88" t="str">
        <f t="array" ref="N3:O5">SORT(K3:L5, 2, false)</f>
        <v>Teun</v>
      </c>
      <c r="O3" s="89">
        <v>0.942</v>
      </c>
      <c r="AL3" s="49" t="str">
        <f>O79</f>
        <v/>
      </c>
      <c r="AM3" s="49" t="str">
        <f>Q79</f>
        <v/>
      </c>
      <c r="AN3" s="49" t="str">
        <f>O105</f>
        <v/>
      </c>
      <c r="AO3" s="49"/>
      <c r="AP3" s="49"/>
      <c r="AQ3" s="49" t="str">
        <f>Q105</f>
        <v/>
      </c>
    </row>
    <row r="4">
      <c r="A4" s="90">
        <v>2.0</v>
      </c>
      <c r="B4" s="91" t="str">
        <f>Pool_1!AH5</f>
        <v>Eminence Bruin</v>
      </c>
      <c r="C4" s="91" t="str">
        <f>Pool_2!AH5</f>
        <v>Rory</v>
      </c>
      <c r="D4" s="91" t="str">
        <f>Pool_3!AH5</f>
        <v>Tjeard</v>
      </c>
      <c r="F4" s="16" t="s">
        <v>71</v>
      </c>
      <c r="G4" s="16" t="s">
        <v>72</v>
      </c>
      <c r="K4" s="88" t="str">
        <f>Pool_2!AH6</f>
        <v>Arjan</v>
      </c>
      <c r="L4" s="89">
        <f>Pool_2!AG6</f>
        <v>0.868</v>
      </c>
      <c r="N4" s="88" t="s">
        <v>56</v>
      </c>
      <c r="O4" s="89">
        <v>0.868</v>
      </c>
      <c r="T4" s="92" t="s">
        <v>1</v>
      </c>
      <c r="U4" s="49" t="str">
        <f>C27</f>
        <v>Jesse</v>
      </c>
      <c r="V4" s="49" t="str">
        <f>E27</f>
        <v>Arjan</v>
      </c>
      <c r="W4" s="49" t="str">
        <f>C53</f>
        <v>Tjeard</v>
      </c>
      <c r="X4" s="49" t="str">
        <f>E53</f>
        <v>Rory</v>
      </c>
      <c r="Y4" s="49" t="str">
        <f>C79</f>
        <v>Tim the Burgundy Enchanter</v>
      </c>
      <c r="Z4" s="49" t="str">
        <f>E79</f>
        <v>Eminence Bruin</v>
      </c>
      <c r="AA4" s="49" t="str">
        <f>C105</f>
        <v>Teun</v>
      </c>
      <c r="AB4" s="49" t="str">
        <f>E105</f>
        <v>Berend</v>
      </c>
      <c r="AC4" s="40" t="s">
        <v>4</v>
      </c>
      <c r="AD4" s="52" t="s">
        <v>3</v>
      </c>
      <c r="AE4" s="52" t="s">
        <v>5</v>
      </c>
      <c r="AH4" s="49"/>
      <c r="AI4" s="49" t="str">
        <f>I27</f>
        <v>Jesse</v>
      </c>
      <c r="AJ4" s="49" t="str">
        <f>K27</f>
        <v>Tjeard</v>
      </c>
      <c r="AK4" s="49" t="str">
        <f>I53</f>
        <v>Eminence Bruin</v>
      </c>
      <c r="AL4" s="49" t="str">
        <f>K53</f>
        <v>Berend</v>
      </c>
      <c r="AM4" s="40" t="s">
        <v>4</v>
      </c>
      <c r="AN4" s="52" t="s">
        <v>3</v>
      </c>
      <c r="AO4" s="52" t="s">
        <v>5</v>
      </c>
      <c r="AR4" s="49"/>
      <c r="AS4" s="49" t="str">
        <f>O27</f>
        <v>Jesse</v>
      </c>
      <c r="AT4" s="49" t="str">
        <f>Q27</f>
        <v>Berend</v>
      </c>
      <c r="AU4" s="49" t="str">
        <f>O53</f>
        <v>Tjeard</v>
      </c>
      <c r="AV4" s="49" t="str">
        <f>Q53</f>
        <v>Eminence Bruin</v>
      </c>
      <c r="AW4" s="40" t="s">
        <v>4</v>
      </c>
      <c r="AX4" s="52" t="s">
        <v>3</v>
      </c>
      <c r="AY4" s="52" t="s">
        <v>5</v>
      </c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</row>
    <row r="5">
      <c r="A5" s="93">
        <v>3.0</v>
      </c>
      <c r="B5" s="94" t="str">
        <f>Pool_1!AH6</f>
        <v>Teun</v>
      </c>
      <c r="C5" s="94" t="str">
        <f>Pool_2!AH6</f>
        <v>Arjan</v>
      </c>
      <c r="D5" s="94" t="str">
        <f>Pool_3!AH6</f>
        <v>Mittens</v>
      </c>
      <c r="F5" s="95" t="str">
        <f>N3</f>
        <v>Teun</v>
      </c>
      <c r="G5" s="95" t="str">
        <f>N4</f>
        <v>Arjan</v>
      </c>
      <c r="K5" s="88" t="str">
        <f>Pool_3!AH6</f>
        <v>Mittens</v>
      </c>
      <c r="L5" s="89">
        <f>Pool_3!AG6</f>
        <v>-1.068</v>
      </c>
      <c r="N5" s="88" t="s">
        <v>62</v>
      </c>
      <c r="O5" s="89">
        <v>-1.068</v>
      </c>
      <c r="T5" s="49" t="str">
        <f>C27</f>
        <v>Jesse</v>
      </c>
      <c r="U5" s="96"/>
      <c r="V5" s="97">
        <f>F49</f>
        <v>-1</v>
      </c>
      <c r="W5" s="49"/>
      <c r="X5" s="49"/>
      <c r="Y5" s="49"/>
      <c r="Z5" s="49"/>
      <c r="AA5" s="49"/>
      <c r="AB5" s="49"/>
      <c r="AC5" s="97">
        <f t="shared" ref="AC5:AC12" si="1">sumif(U5:AB5, "&gt;0")</f>
        <v>0</v>
      </c>
      <c r="AD5" s="98">
        <f>U13</f>
        <v>1</v>
      </c>
      <c r="AE5" s="98">
        <f t="shared" ref="AE5:AE12" si="2">AD5+(0.001*(AE17/AE$25))</f>
        <v>1.000238095</v>
      </c>
      <c r="AF5" s="8" t="str">
        <f t="shared" ref="AF5:AF12" si="3">T5</f>
        <v>Jesse</v>
      </c>
      <c r="AH5" s="49" t="str">
        <f>I27</f>
        <v>Jesse</v>
      </c>
      <c r="AI5" s="96"/>
      <c r="AJ5" s="97">
        <f>L49</f>
        <v>-1</v>
      </c>
      <c r="AK5" s="49"/>
      <c r="AL5" s="49"/>
      <c r="AM5" s="97">
        <f t="shared" ref="AM5:AM8" si="4">sumif(AH5:AL5, "&gt;0")</f>
        <v>0</v>
      </c>
      <c r="AN5" s="8">
        <f>AI9</f>
        <v>1</v>
      </c>
      <c r="AO5" s="98">
        <f>AN5-AM5+(0.01*(AO17/AO$21))</f>
        <v>1.004615385</v>
      </c>
      <c r="AP5" s="8" t="str">
        <f t="shared" ref="AP5:AP8" si="5">AH5</f>
        <v>Jesse</v>
      </c>
      <c r="AR5" s="49" t="str">
        <f>O27</f>
        <v>Jesse</v>
      </c>
      <c r="AS5" s="96"/>
      <c r="AT5" s="97">
        <f>R49</f>
        <v>1</v>
      </c>
      <c r="AU5" s="49"/>
      <c r="AV5" s="49"/>
      <c r="AW5" s="97">
        <f t="shared" ref="AW5:AW8" si="6">sumif(AS5:AV5, "&gt;0")</f>
        <v>1</v>
      </c>
      <c r="AX5" s="8">
        <f>AS9</f>
        <v>0</v>
      </c>
      <c r="AY5" s="98">
        <f t="shared" ref="AY5:AY8" si="7">AX5+(0.1*(AY17/AY$21))</f>
        <v>-0.025</v>
      </c>
      <c r="AZ5" s="97" t="str">
        <f t="shared" ref="AZ5:AZ8" si="8">AR5</f>
        <v>Jesse</v>
      </c>
      <c r="BA5" s="97"/>
      <c r="BB5" s="97"/>
      <c r="BC5" s="97" t="str">
        <f t="shared" ref="BC5:BC12" si="9">AF5</f>
        <v>Jesse</v>
      </c>
      <c r="BD5" s="99">
        <f t="shared" ref="BD5:BD12" si="10">AE5</f>
        <v>1.000238095</v>
      </c>
      <c r="BE5" s="97" t="str">
        <f t="shared" ref="BE5:BE12" si="11">AP5</f>
        <v>Jesse</v>
      </c>
      <c r="BF5" s="99">
        <f t="shared" ref="BF5:BF12" si="12">AO5</f>
        <v>1.004615385</v>
      </c>
      <c r="BG5" s="97" t="str">
        <f t="shared" ref="BG5:BG8" si="13">AZ5</f>
        <v>Jesse</v>
      </c>
      <c r="BH5" s="99">
        <f t="shared" ref="BH5:BH8" si="14">AY5</f>
        <v>-0.025</v>
      </c>
      <c r="BI5" s="99"/>
      <c r="BJ5" s="99">
        <f t="shared" ref="BJ5:BJ12" si="15">sumif(BC$5:BG$12,BC$5:BC$12,BD$5:BH$12)</f>
        <v>1.97985348</v>
      </c>
      <c r="BK5" s="97" t="str">
        <f t="shared" ref="BK5:BK12" si="16">BC5:BC12</f>
        <v>Jesse</v>
      </c>
      <c r="BL5" s="97"/>
      <c r="BM5" s="99">
        <f t="array" ref="BM5:BN12">sort(BJ5:BK12,1,FALSE)</f>
        <v>3.029948718</v>
      </c>
      <c r="BN5" s="97" t="s">
        <v>60</v>
      </c>
      <c r="BO5" s="97"/>
    </row>
    <row r="6">
      <c r="T6" s="49" t="str">
        <f>E27</f>
        <v>Arjan</v>
      </c>
      <c r="U6" s="97">
        <f>C49</f>
        <v>1</v>
      </c>
      <c r="V6" s="96"/>
      <c r="W6" s="49"/>
      <c r="X6" s="49"/>
      <c r="Y6" s="49"/>
      <c r="Z6" s="49"/>
      <c r="AA6" s="49"/>
      <c r="AB6" s="49"/>
      <c r="AC6" s="97">
        <f t="shared" si="1"/>
        <v>1</v>
      </c>
      <c r="AD6" s="8">
        <f>V13</f>
        <v>0</v>
      </c>
      <c r="AE6" s="98">
        <f t="shared" si="2"/>
        <v>-0.0002380952381</v>
      </c>
      <c r="AF6" s="8" t="str">
        <f t="shared" si="3"/>
        <v>Arjan</v>
      </c>
      <c r="AH6" s="49" t="str">
        <f>K27</f>
        <v>Tjeard</v>
      </c>
      <c r="AI6" s="97">
        <f>I49</f>
        <v>1</v>
      </c>
      <c r="AJ6" s="96"/>
      <c r="AK6" s="49"/>
      <c r="AL6" s="49"/>
      <c r="AM6" s="97">
        <f t="shared" si="4"/>
        <v>1</v>
      </c>
      <c r="AN6" s="8">
        <f>AJ9</f>
        <v>0</v>
      </c>
      <c r="AO6" s="98">
        <f t="shared" ref="AO6:AO8" si="17">AN6+(0.01*(AO18/AO$21))</f>
        <v>-0.004615384615</v>
      </c>
      <c r="AP6" s="8" t="str">
        <f t="shared" si="5"/>
        <v>Tjeard</v>
      </c>
      <c r="AR6" s="49" t="str">
        <f>Q27</f>
        <v>Berend</v>
      </c>
      <c r="AS6" s="97">
        <f>O49</f>
        <v>-1</v>
      </c>
      <c r="AT6" s="96"/>
      <c r="AU6" s="49"/>
      <c r="AV6" s="49"/>
      <c r="AW6" s="97">
        <f t="shared" si="6"/>
        <v>0</v>
      </c>
      <c r="AX6" s="8">
        <f>AT9</f>
        <v>1</v>
      </c>
      <c r="AY6" s="98">
        <f t="shared" si="7"/>
        <v>1.025</v>
      </c>
      <c r="AZ6" s="97" t="str">
        <f t="shared" si="8"/>
        <v>Berend</v>
      </c>
      <c r="BB6" s="97"/>
      <c r="BC6" s="97" t="str">
        <f t="shared" si="9"/>
        <v>Arjan</v>
      </c>
      <c r="BD6" s="99">
        <f t="shared" si="10"/>
        <v>-0.0002380952381</v>
      </c>
      <c r="BE6" s="97" t="str">
        <f t="shared" si="11"/>
        <v>Tjeard</v>
      </c>
      <c r="BF6" s="99">
        <f t="shared" si="12"/>
        <v>-0.004615384615</v>
      </c>
      <c r="BG6" s="97" t="str">
        <f t="shared" si="13"/>
        <v>Berend</v>
      </c>
      <c r="BH6" s="99">
        <f t="shared" si="14"/>
        <v>1.025</v>
      </c>
      <c r="BI6" s="99"/>
      <c r="BJ6" s="99">
        <f t="shared" si="15"/>
        <v>-0.0002380952381</v>
      </c>
      <c r="BK6" s="97" t="str">
        <f t="shared" si="16"/>
        <v>Arjan</v>
      </c>
      <c r="BM6" s="98">
        <v>1.97985347985348</v>
      </c>
      <c r="BN6" s="8" t="s">
        <v>54</v>
      </c>
    </row>
    <row r="7">
      <c r="T7" s="49" t="str">
        <f>C53</f>
        <v>Tjeard</v>
      </c>
      <c r="U7" s="49"/>
      <c r="V7" s="49"/>
      <c r="W7" s="96"/>
      <c r="X7" s="97">
        <f>F75</f>
        <v>-1</v>
      </c>
      <c r="Y7" s="49"/>
      <c r="Z7" s="49"/>
      <c r="AA7" s="49"/>
      <c r="AB7" s="49"/>
      <c r="AC7" s="97">
        <f t="shared" si="1"/>
        <v>0</v>
      </c>
      <c r="AD7" s="8">
        <f>W13</f>
        <v>1</v>
      </c>
      <c r="AE7" s="98">
        <f t="shared" si="2"/>
        <v>1.000095238</v>
      </c>
      <c r="AF7" s="8" t="str">
        <f t="shared" si="3"/>
        <v>Tjeard</v>
      </c>
      <c r="AH7" s="49" t="str">
        <f>I53</f>
        <v>Eminence Bruin</v>
      </c>
      <c r="AI7" s="49"/>
      <c r="AJ7" s="49"/>
      <c r="AK7" s="96"/>
      <c r="AL7" s="97">
        <f>L75</f>
        <v>1</v>
      </c>
      <c r="AM7" s="97">
        <f t="shared" si="4"/>
        <v>1</v>
      </c>
      <c r="AN7" s="8">
        <f>AK9</f>
        <v>0</v>
      </c>
      <c r="AO7" s="98">
        <f t="shared" si="17"/>
        <v>-0.004615384615</v>
      </c>
      <c r="AP7" s="8" t="str">
        <f t="shared" si="5"/>
        <v>Eminence Bruin</v>
      </c>
      <c r="AR7" s="49" t="str">
        <f>O53</f>
        <v>Tjeard</v>
      </c>
      <c r="AS7" s="49"/>
      <c r="AT7" s="49"/>
      <c r="AU7" s="96"/>
      <c r="AV7" s="100">
        <f>R75*0.5</f>
        <v>-0.5</v>
      </c>
      <c r="AW7" s="97">
        <f t="shared" si="6"/>
        <v>0</v>
      </c>
      <c r="AX7" s="8">
        <f>AU9</f>
        <v>0.5</v>
      </c>
      <c r="AY7" s="98">
        <f t="shared" si="7"/>
        <v>0.55</v>
      </c>
      <c r="AZ7" s="97" t="str">
        <f t="shared" si="8"/>
        <v>Tjeard</v>
      </c>
      <c r="BB7" s="97"/>
      <c r="BC7" s="97" t="str">
        <f t="shared" si="9"/>
        <v>Tjeard</v>
      </c>
      <c r="BD7" s="99">
        <f t="shared" si="10"/>
        <v>1.000095238</v>
      </c>
      <c r="BE7" s="97" t="str">
        <f t="shared" si="11"/>
        <v>Eminence Bruin</v>
      </c>
      <c r="BF7" s="99">
        <f t="shared" si="12"/>
        <v>-0.004615384615</v>
      </c>
      <c r="BG7" s="97" t="str">
        <f t="shared" si="13"/>
        <v>Tjeard</v>
      </c>
      <c r="BH7" s="99">
        <f t="shared" si="14"/>
        <v>0.55</v>
      </c>
      <c r="BI7" s="99"/>
      <c r="BJ7" s="99">
        <f t="shared" si="15"/>
        <v>1.545479853</v>
      </c>
      <c r="BK7" s="97" t="str">
        <f t="shared" si="16"/>
        <v>Tjeard</v>
      </c>
      <c r="BM7" s="98">
        <v>1.5454798534798537</v>
      </c>
      <c r="BN7" s="8" t="s">
        <v>61</v>
      </c>
    </row>
    <row r="8">
      <c r="K8" s="101" t="s">
        <v>73</v>
      </c>
      <c r="L8" s="85"/>
      <c r="N8" s="101" t="s">
        <v>74</v>
      </c>
      <c r="O8" s="85"/>
      <c r="T8" s="49" t="str">
        <f>E53</f>
        <v>Rory</v>
      </c>
      <c r="U8" s="49"/>
      <c r="V8" s="49"/>
      <c r="W8" s="97">
        <f>C75</f>
        <v>1</v>
      </c>
      <c r="X8" s="96"/>
      <c r="Y8" s="49"/>
      <c r="Z8" s="49"/>
      <c r="AA8" s="49"/>
      <c r="AB8" s="49"/>
      <c r="AC8" s="97">
        <f t="shared" si="1"/>
        <v>1</v>
      </c>
      <c r="AD8" s="49">
        <f>X13</f>
        <v>0</v>
      </c>
      <c r="AE8" s="98">
        <f t="shared" si="2"/>
        <v>-0.00009523809524</v>
      </c>
      <c r="AF8" s="8" t="str">
        <f t="shared" si="3"/>
        <v>Rory</v>
      </c>
      <c r="AH8" s="49" t="str">
        <f>K53</f>
        <v>Berend</v>
      </c>
      <c r="AI8" s="49"/>
      <c r="AJ8" s="49"/>
      <c r="AK8" s="97">
        <f>I75</f>
        <v>-1</v>
      </c>
      <c r="AL8" s="96"/>
      <c r="AM8" s="97">
        <f t="shared" si="4"/>
        <v>0</v>
      </c>
      <c r="AN8" s="49">
        <f>AL9</f>
        <v>1</v>
      </c>
      <c r="AO8" s="98">
        <f t="shared" si="17"/>
        <v>1.004615385</v>
      </c>
      <c r="AP8" s="8" t="str">
        <f t="shared" si="5"/>
        <v>Berend</v>
      </c>
      <c r="AR8" s="49" t="str">
        <f>Q53</f>
        <v>Eminence Bruin</v>
      </c>
      <c r="AS8" s="49"/>
      <c r="AT8" s="49"/>
      <c r="AU8" s="100">
        <f>O75*0.5</f>
        <v>0.5</v>
      </c>
      <c r="AV8" s="96"/>
      <c r="AW8" s="97">
        <f t="shared" si="6"/>
        <v>0.5</v>
      </c>
      <c r="AX8" s="49">
        <f>AV9</f>
        <v>0</v>
      </c>
      <c r="AY8" s="98">
        <f t="shared" si="7"/>
        <v>-0.05</v>
      </c>
      <c r="AZ8" s="97" t="str">
        <f t="shared" si="8"/>
        <v>Eminence Bruin</v>
      </c>
      <c r="BB8" s="97"/>
      <c r="BC8" s="97" t="str">
        <f t="shared" si="9"/>
        <v>Rory</v>
      </c>
      <c r="BD8" s="99">
        <f t="shared" si="10"/>
        <v>-0.00009523809524</v>
      </c>
      <c r="BE8" s="97" t="str">
        <f t="shared" si="11"/>
        <v>Berend</v>
      </c>
      <c r="BF8" s="99">
        <f t="shared" si="12"/>
        <v>1.004615385</v>
      </c>
      <c r="BG8" s="97" t="str">
        <f t="shared" si="13"/>
        <v>Eminence Bruin</v>
      </c>
      <c r="BH8" s="99">
        <f t="shared" si="14"/>
        <v>-0.05</v>
      </c>
      <c r="BI8" s="99"/>
      <c r="BJ8" s="99">
        <f t="shared" si="15"/>
        <v>-0.00009523809524</v>
      </c>
      <c r="BK8" s="97" t="str">
        <f t="shared" si="16"/>
        <v>Rory</v>
      </c>
      <c r="BM8" s="98">
        <v>0.9456703296703296</v>
      </c>
      <c r="BN8" s="8" t="s">
        <v>12</v>
      </c>
    </row>
    <row r="9">
      <c r="K9" s="91" t="str">
        <f>Pool_1!AH5</f>
        <v>Eminence Bruin</v>
      </c>
      <c r="L9" s="102">
        <f>Pool_1!AG5</f>
        <v>1.887</v>
      </c>
      <c r="N9" s="91" t="str">
        <f t="array" ref="N9:O11">SORT(K9:L11, 2, false)</f>
        <v>Tjeard</v>
      </c>
      <c r="O9" s="102">
        <v>2.8289999999999997</v>
      </c>
      <c r="T9" s="49" t="str">
        <f>C79</f>
        <v>Tim the Burgundy Enchanter</v>
      </c>
      <c r="U9" s="49"/>
      <c r="V9" s="49"/>
      <c r="W9" s="49"/>
      <c r="X9" s="49"/>
      <c r="Y9" s="96"/>
      <c r="Z9" s="97">
        <f>F101</f>
        <v>1</v>
      </c>
      <c r="AA9" s="49"/>
      <c r="AB9" s="49"/>
      <c r="AC9" s="97">
        <f t="shared" si="1"/>
        <v>1</v>
      </c>
      <c r="AD9" s="49">
        <f>Y13</f>
        <v>0</v>
      </c>
      <c r="AE9" s="98">
        <f t="shared" si="2"/>
        <v>-0.0002857142857</v>
      </c>
      <c r="AF9" s="8" t="str">
        <f t="shared" si="3"/>
        <v>Tim the Burgundy Enchanter</v>
      </c>
      <c r="AG9" s="49" t="str">
        <f>Q79</f>
        <v/>
      </c>
      <c r="AH9" s="40" t="s">
        <v>3</v>
      </c>
      <c r="AI9" s="97">
        <f t="shared" ref="AI9:AL9" si="18">SUMIF(AI5:AI8, "&gt;0", AI5:AI8)</f>
        <v>1</v>
      </c>
      <c r="AJ9" s="97">
        <f t="shared" si="18"/>
        <v>0</v>
      </c>
      <c r="AK9" s="97">
        <f t="shared" si="18"/>
        <v>0</v>
      </c>
      <c r="AL9" s="97">
        <f t="shared" si="18"/>
        <v>1</v>
      </c>
      <c r="AM9" s="97"/>
      <c r="AN9" s="49" t="str">
        <f>AI13</f>
        <v/>
      </c>
      <c r="AP9" s="49"/>
      <c r="AQ9" s="49"/>
      <c r="AR9" s="40" t="s">
        <v>3</v>
      </c>
      <c r="AS9" s="97">
        <f t="shared" ref="AS9:AV9" si="19">SUMIF(AS5:AS8, "&gt;0", AS5:AS8)</f>
        <v>0</v>
      </c>
      <c r="AT9" s="97">
        <f t="shared" si="19"/>
        <v>1</v>
      </c>
      <c r="AU9" s="97">
        <f t="shared" si="19"/>
        <v>0.5</v>
      </c>
      <c r="AV9" s="97">
        <f t="shared" si="19"/>
        <v>0</v>
      </c>
      <c r="AW9" s="49"/>
      <c r="AX9" s="49" t="str">
        <f>AS13</f>
        <v/>
      </c>
      <c r="BB9" s="97"/>
      <c r="BC9" s="97" t="str">
        <f t="shared" si="9"/>
        <v>Tim the Burgundy Enchanter</v>
      </c>
      <c r="BD9" s="99">
        <f t="shared" si="10"/>
        <v>-0.0002857142857</v>
      </c>
      <c r="BE9" s="97" t="str">
        <f t="shared" si="11"/>
        <v/>
      </c>
      <c r="BF9" s="97" t="str">
        <f t="shared" si="12"/>
        <v/>
      </c>
      <c r="BI9" s="99"/>
      <c r="BJ9" s="99">
        <f t="shared" si="15"/>
        <v>-0.0002857142857</v>
      </c>
      <c r="BK9" s="97" t="str">
        <f t="shared" si="16"/>
        <v>Tim the Burgundy Enchanter</v>
      </c>
      <c r="BM9" s="98">
        <v>-9.523809523809524E-5</v>
      </c>
      <c r="BN9" s="8" t="s">
        <v>55</v>
      </c>
    </row>
    <row r="10">
      <c r="A10" s="56" t="s">
        <v>75</v>
      </c>
      <c r="B10" s="103" t="str">
        <f>N15</f>
        <v>Jesse</v>
      </c>
      <c r="C10" s="104"/>
      <c r="D10" s="104"/>
      <c r="E10" s="104"/>
      <c r="F10" s="104"/>
      <c r="K10" s="91" t="str">
        <f>Pool_2!AH5</f>
        <v>Rory</v>
      </c>
      <c r="L10" s="102">
        <f>Pool_2!AG5</f>
        <v>1.893</v>
      </c>
      <c r="N10" s="91" t="s">
        <v>55</v>
      </c>
      <c r="O10" s="102">
        <v>1.893</v>
      </c>
      <c r="T10" s="49" t="str">
        <f>E79</f>
        <v>Eminence Bruin</v>
      </c>
      <c r="U10" s="49"/>
      <c r="V10" s="49"/>
      <c r="W10" s="49"/>
      <c r="X10" s="49"/>
      <c r="Y10" s="97">
        <f>C101</f>
        <v>-1</v>
      </c>
      <c r="Z10" s="96"/>
      <c r="AA10" s="49"/>
      <c r="AB10" s="49"/>
      <c r="AC10" s="97">
        <f t="shared" si="1"/>
        <v>0</v>
      </c>
      <c r="AD10" s="49">
        <f>Z13</f>
        <v>1</v>
      </c>
      <c r="AE10" s="98">
        <f t="shared" si="2"/>
        <v>1.000285714</v>
      </c>
      <c r="AF10" s="8" t="str">
        <f t="shared" si="3"/>
        <v>Eminence Bruin</v>
      </c>
      <c r="AG10" s="49" t="str">
        <f>O105</f>
        <v/>
      </c>
      <c r="AH10" s="49"/>
      <c r="AI10" s="49"/>
      <c r="AJ10" s="49"/>
      <c r="AK10" s="49"/>
      <c r="AL10" s="49"/>
      <c r="AM10" s="49"/>
      <c r="AN10" s="49" t="str">
        <f>AJ13</f>
        <v/>
      </c>
      <c r="AP10" s="97"/>
      <c r="AQ10" s="97"/>
      <c r="AX10" s="49"/>
      <c r="BB10" s="97"/>
      <c r="BC10" s="97" t="str">
        <f t="shared" si="9"/>
        <v>Eminence Bruin</v>
      </c>
      <c r="BD10" s="99">
        <f t="shared" si="10"/>
        <v>1.000285714</v>
      </c>
      <c r="BE10" s="97" t="str">
        <f t="shared" si="11"/>
        <v/>
      </c>
      <c r="BF10" s="97" t="str">
        <f t="shared" si="12"/>
        <v/>
      </c>
      <c r="BI10" s="99"/>
      <c r="BJ10" s="99">
        <f t="shared" si="15"/>
        <v>0.9456703297</v>
      </c>
      <c r="BK10" s="97" t="str">
        <f t="shared" si="16"/>
        <v>Eminence Bruin</v>
      </c>
      <c r="BM10" s="98">
        <v>-2.380952380952381E-4</v>
      </c>
      <c r="BN10" s="8" t="s">
        <v>56</v>
      </c>
    </row>
    <row r="11">
      <c r="A11" s="104"/>
      <c r="B11" s="105" t="str">
        <f>G5</f>
        <v>Arjan</v>
      </c>
      <c r="C11" s="104"/>
      <c r="D11" s="104"/>
      <c r="E11" s="104"/>
      <c r="F11" s="104"/>
      <c r="K11" s="91" t="str">
        <f>Pool_3!AH5</f>
        <v>Tjeard</v>
      </c>
      <c r="L11" s="102">
        <f>Pool_3!AG5</f>
        <v>2.829</v>
      </c>
      <c r="N11" s="91" t="s">
        <v>12</v>
      </c>
      <c r="O11" s="102">
        <v>1.8869999999999998</v>
      </c>
      <c r="T11" s="49" t="str">
        <f>C105</f>
        <v>Teun</v>
      </c>
      <c r="U11" s="49"/>
      <c r="V11" s="49"/>
      <c r="W11" s="49"/>
      <c r="X11" s="49"/>
      <c r="Y11" s="49"/>
      <c r="Z11" s="49"/>
      <c r="AA11" s="96"/>
      <c r="AB11" s="97">
        <f>F127</f>
        <v>1</v>
      </c>
      <c r="AC11" s="97">
        <f t="shared" si="1"/>
        <v>1</v>
      </c>
      <c r="AD11" s="49">
        <f>AA13</f>
        <v>0</v>
      </c>
      <c r="AE11" s="98">
        <f t="shared" si="2"/>
        <v>-0.0003333333333</v>
      </c>
      <c r="AF11" s="8" t="str">
        <f t="shared" si="3"/>
        <v>Teun</v>
      </c>
      <c r="AG11" s="49" t="str">
        <f>Q105</f>
        <v/>
      </c>
      <c r="AH11" s="49"/>
      <c r="AI11" s="49"/>
      <c r="AJ11" s="49"/>
      <c r="AK11" s="49"/>
      <c r="AL11" s="49"/>
      <c r="AM11" s="49"/>
      <c r="AN11" s="49" t="str">
        <f>AK13</f>
        <v/>
      </c>
      <c r="AP11" s="49"/>
      <c r="AQ11" s="49"/>
      <c r="AX11" s="49"/>
      <c r="BB11" s="97"/>
      <c r="BC11" s="97" t="str">
        <f t="shared" si="9"/>
        <v>Teun</v>
      </c>
      <c r="BD11" s="99">
        <f t="shared" si="10"/>
        <v>-0.0003333333333</v>
      </c>
      <c r="BE11" s="97" t="str">
        <f t="shared" si="11"/>
        <v/>
      </c>
      <c r="BF11" s="97" t="str">
        <f t="shared" si="12"/>
        <v/>
      </c>
      <c r="BI11" s="99"/>
      <c r="BJ11" s="99">
        <f t="shared" si="15"/>
        <v>-0.0003333333333</v>
      </c>
      <c r="BK11" s="97" t="str">
        <f t="shared" si="16"/>
        <v>Teun</v>
      </c>
      <c r="BM11" s="98">
        <v>-2.857142857142857E-4</v>
      </c>
      <c r="BN11" s="8" t="s">
        <v>9</v>
      </c>
    </row>
    <row r="12">
      <c r="A12" s="104"/>
      <c r="B12" s="104"/>
      <c r="C12" s="56" t="s">
        <v>76</v>
      </c>
      <c r="D12" s="103" t="str">
        <f>E50</f>
        <v>Jesse</v>
      </c>
      <c r="E12" s="104"/>
      <c r="F12" s="104"/>
      <c r="T12" s="49" t="str">
        <f>E105</f>
        <v>Berend</v>
      </c>
      <c r="U12" s="49"/>
      <c r="V12" s="49"/>
      <c r="W12" s="49"/>
      <c r="X12" s="49"/>
      <c r="Y12" s="49"/>
      <c r="Z12" s="49"/>
      <c r="AA12" s="97">
        <f>C127</f>
        <v>-1</v>
      </c>
      <c r="AB12" s="96"/>
      <c r="AC12" s="97">
        <f t="shared" si="1"/>
        <v>0</v>
      </c>
      <c r="AD12" s="8">
        <f>AB13</f>
        <v>1</v>
      </c>
      <c r="AE12" s="98">
        <f t="shared" si="2"/>
        <v>1.000333333</v>
      </c>
      <c r="AF12" s="8" t="str">
        <f t="shared" si="3"/>
        <v>Berend</v>
      </c>
      <c r="AN12" s="8" t="str">
        <f>AL13</f>
        <v/>
      </c>
      <c r="BB12" s="97"/>
      <c r="BC12" s="97" t="str">
        <f t="shared" si="9"/>
        <v>Berend</v>
      </c>
      <c r="BD12" s="99">
        <f t="shared" si="10"/>
        <v>1.000333333</v>
      </c>
      <c r="BE12" s="97" t="str">
        <f t="shared" si="11"/>
        <v/>
      </c>
      <c r="BF12" s="97" t="str">
        <f t="shared" si="12"/>
        <v/>
      </c>
      <c r="BI12" s="99"/>
      <c r="BJ12" s="99">
        <f t="shared" si="15"/>
        <v>3.029948718</v>
      </c>
      <c r="BK12" s="97" t="str">
        <f t="shared" si="16"/>
        <v>Berend</v>
      </c>
      <c r="BM12" s="98">
        <v>-3.333333333333333E-4</v>
      </c>
      <c r="BN12" s="8" t="s">
        <v>15</v>
      </c>
    </row>
    <row r="13">
      <c r="A13" s="56" t="s">
        <v>77</v>
      </c>
      <c r="B13" s="103" t="str">
        <f t="shared" ref="B13:B14" si="21">N9</f>
        <v>Tjeard</v>
      </c>
      <c r="C13" s="104"/>
      <c r="D13" s="105" t="str">
        <f>E76</f>
        <v>Tjeard</v>
      </c>
      <c r="E13" s="104"/>
      <c r="F13" s="104"/>
      <c r="T13" s="40" t="s">
        <v>3</v>
      </c>
      <c r="U13" s="97">
        <f t="shared" ref="U13:AB13" si="20">SUMIF(U5:U12, "&gt;0", U5:U12)</f>
        <v>1</v>
      </c>
      <c r="V13" s="97">
        <f t="shared" si="20"/>
        <v>0</v>
      </c>
      <c r="W13" s="97">
        <f t="shared" si="20"/>
        <v>1</v>
      </c>
      <c r="X13" s="97">
        <f t="shared" si="20"/>
        <v>0</v>
      </c>
      <c r="Y13" s="97">
        <f t="shared" si="20"/>
        <v>0</v>
      </c>
      <c r="Z13" s="97">
        <f t="shared" si="20"/>
        <v>1</v>
      </c>
      <c r="AA13" s="97">
        <f t="shared" si="20"/>
        <v>0</v>
      </c>
      <c r="AB13" s="97">
        <f t="shared" si="20"/>
        <v>1</v>
      </c>
      <c r="AC13" s="49"/>
    </row>
    <row r="14">
      <c r="A14" s="104"/>
      <c r="B14" s="105" t="str">
        <f t="shared" si="21"/>
        <v>Rory</v>
      </c>
      <c r="C14" s="104"/>
      <c r="D14" s="104"/>
      <c r="E14" s="56" t="s">
        <v>78</v>
      </c>
      <c r="F14" s="103" t="str">
        <f>K50</f>
        <v>Jesse</v>
      </c>
      <c r="K14" s="106" t="s">
        <v>79</v>
      </c>
      <c r="L14" s="85"/>
      <c r="N14" s="106" t="s">
        <v>80</v>
      </c>
      <c r="O14" s="85"/>
    </row>
    <row r="15">
      <c r="A15" s="104"/>
      <c r="B15" s="104"/>
      <c r="C15" s="104"/>
      <c r="D15" s="104"/>
      <c r="E15" s="104"/>
      <c r="F15" s="105" t="str">
        <f>K76</f>
        <v>Berend</v>
      </c>
      <c r="K15" s="87" t="str">
        <f>Pool_1!AH4</f>
        <v>Tim the Burgundy Enchanter</v>
      </c>
      <c r="L15" s="107">
        <f>Pool_1!AG4</f>
        <v>1.953</v>
      </c>
      <c r="N15" s="87" t="str">
        <f t="array" ref="N15:O17">SORT(K15:L17, 2, false)</f>
        <v>Jesse</v>
      </c>
      <c r="O15" s="107">
        <v>4.927</v>
      </c>
    </row>
    <row r="16">
      <c r="A16" s="56" t="s">
        <v>81</v>
      </c>
      <c r="B16" s="103" t="str">
        <f>N17</f>
        <v>Tim the Burgundy Enchanter</v>
      </c>
      <c r="C16" s="104"/>
      <c r="D16" s="104"/>
      <c r="E16" s="104"/>
      <c r="F16" s="104"/>
      <c r="K16" s="87" t="str">
        <f>Pool_2!AH4</f>
        <v>Jesse</v>
      </c>
      <c r="L16" s="107">
        <f>Pool_2!AG4</f>
        <v>4.927</v>
      </c>
      <c r="N16" s="87" t="s">
        <v>60</v>
      </c>
      <c r="O16" s="107">
        <v>2.854</v>
      </c>
      <c r="T16" s="52" t="s">
        <v>34</v>
      </c>
      <c r="U16" s="8" t="str">
        <f>C27</f>
        <v>Jesse</v>
      </c>
      <c r="V16" s="8" t="str">
        <f>E27</f>
        <v>Arjan</v>
      </c>
      <c r="W16" s="8" t="str">
        <f>C53</f>
        <v>Tjeard</v>
      </c>
      <c r="X16" s="8" t="str">
        <f>E53</f>
        <v>Rory</v>
      </c>
      <c r="Y16" s="8" t="str">
        <f>C79</f>
        <v>Tim the Burgundy Enchanter</v>
      </c>
      <c r="Z16" s="8" t="str">
        <f>E79</f>
        <v>Eminence Bruin</v>
      </c>
      <c r="AA16" s="8" t="str">
        <f>C105</f>
        <v>Teun</v>
      </c>
      <c r="AB16" s="8" t="str">
        <f>E105</f>
        <v>Berend</v>
      </c>
      <c r="AC16" s="56" t="s">
        <v>4</v>
      </c>
      <c r="AD16" s="52" t="s">
        <v>3</v>
      </c>
      <c r="AE16" s="52" t="s">
        <v>5</v>
      </c>
      <c r="AH16" s="49"/>
      <c r="AI16" s="49" t="str">
        <f>I27</f>
        <v>Jesse</v>
      </c>
      <c r="AJ16" s="49" t="str">
        <f>K27</f>
        <v>Tjeard</v>
      </c>
      <c r="AK16" s="49" t="str">
        <f>I53</f>
        <v>Eminence Bruin</v>
      </c>
      <c r="AL16" s="49" t="str">
        <f>K53</f>
        <v>Berend</v>
      </c>
      <c r="AM16" s="40" t="s">
        <v>4</v>
      </c>
      <c r="AN16" s="52" t="s">
        <v>3</v>
      </c>
      <c r="AO16" s="52" t="s">
        <v>5</v>
      </c>
      <c r="AR16" s="49"/>
      <c r="AS16" s="49" t="str">
        <f>O27</f>
        <v>Jesse</v>
      </c>
      <c r="AT16" s="49" t="str">
        <f>Q27</f>
        <v>Berend</v>
      </c>
      <c r="AU16" s="49" t="str">
        <f>O53</f>
        <v>Tjeard</v>
      </c>
      <c r="AV16" s="49" t="str">
        <f>Q53</f>
        <v>Eminence Bruin</v>
      </c>
      <c r="AW16" s="40" t="s">
        <v>4</v>
      </c>
      <c r="AX16" s="52" t="s">
        <v>3</v>
      </c>
      <c r="AY16" s="52" t="s">
        <v>5</v>
      </c>
    </row>
    <row r="17">
      <c r="A17" s="104"/>
      <c r="B17" s="105" t="str">
        <f>N11</f>
        <v>Eminence Bruin</v>
      </c>
      <c r="C17" s="56"/>
      <c r="D17" s="103" t="str">
        <f>E102</f>
        <v>Eminence Bruin</v>
      </c>
      <c r="E17" s="104"/>
      <c r="F17" s="104"/>
      <c r="K17" s="87" t="str">
        <f>Pool_3!AH4</f>
        <v>Berend</v>
      </c>
      <c r="L17" s="107">
        <f>Pool_3!AG4</f>
        <v>2.854</v>
      </c>
      <c r="N17" s="87" t="s">
        <v>9</v>
      </c>
      <c r="O17" s="107">
        <v>1.9529999999999998</v>
      </c>
      <c r="T17" s="8" t="str">
        <f>C27</f>
        <v>Jesse</v>
      </c>
      <c r="U17" s="108"/>
      <c r="V17" s="8">
        <f>F48</f>
        <v>5</v>
      </c>
      <c r="AC17" s="8">
        <f t="shared" ref="AC17:AC24" si="22">sumif(U17:AB17, "&gt;0")</f>
        <v>5</v>
      </c>
      <c r="AD17" s="8">
        <f>U25</f>
        <v>10</v>
      </c>
      <c r="AE17" s="8">
        <f t="shared" ref="AE17:AE24" si="23">AD17-AC17</f>
        <v>5</v>
      </c>
      <c r="AF17" s="8" t="str">
        <f t="shared" ref="AF17:AF24" si="24">T17</f>
        <v>Jesse</v>
      </c>
      <c r="AH17" s="49" t="str">
        <f>I27</f>
        <v>Jesse</v>
      </c>
      <c r="AI17" s="96"/>
      <c r="AJ17" s="97">
        <f>L48</f>
        <v>9</v>
      </c>
      <c r="AK17" s="49"/>
      <c r="AL17" s="49"/>
      <c r="AM17" s="97">
        <f t="shared" ref="AM17:AM20" si="25">sumif(AH17:AL17, "&gt;0")</f>
        <v>9</v>
      </c>
      <c r="AN17" s="8">
        <f>AI21</f>
        <v>15</v>
      </c>
      <c r="AO17" s="8">
        <f t="shared" ref="AO17:AO20" si="26">AN17-AM17</f>
        <v>6</v>
      </c>
      <c r="AP17" s="8" t="str">
        <f t="shared" ref="AP17:AP20" si="27">AH17</f>
        <v>Jesse</v>
      </c>
      <c r="AR17" s="49" t="str">
        <f>O27</f>
        <v>Jesse</v>
      </c>
      <c r="AS17" s="96"/>
      <c r="AT17" s="97">
        <f>R48</f>
        <v>9</v>
      </c>
      <c r="AU17" s="49"/>
      <c r="AV17" s="49"/>
      <c r="AW17" s="97">
        <f t="shared" ref="AW17:AW20" si="28">sumif(AS17:AV17, "&gt;0")</f>
        <v>9</v>
      </c>
      <c r="AX17" s="8">
        <f>AS21</f>
        <v>8</v>
      </c>
      <c r="AY17" s="8">
        <f t="shared" ref="AY17:AY20" si="29">AX17-AW17</f>
        <v>-1</v>
      </c>
      <c r="AZ17" s="97" t="str">
        <f t="shared" ref="AZ17:AZ20" si="30">AR17</f>
        <v>Jesse</v>
      </c>
      <c r="BC17" s="97" t="str">
        <f t="shared" ref="BC17:BC24" si="31">AF17</f>
        <v>Jesse</v>
      </c>
      <c r="BD17" s="99">
        <f t="shared" ref="BD17:BD24" si="32">AE17</f>
        <v>5</v>
      </c>
      <c r="BE17" s="97" t="str">
        <f t="shared" ref="BE17:BE24" si="33">AP17</f>
        <v>Jesse</v>
      </c>
      <c r="BF17" s="99">
        <f t="shared" ref="BF17:BF24" si="34">AO17</f>
        <v>6</v>
      </c>
      <c r="BG17" s="97" t="str">
        <f t="shared" ref="BG17:BG20" si="35">AZ17</f>
        <v>Jesse</v>
      </c>
      <c r="BH17" s="99">
        <f t="shared" ref="BH17:BH20" si="36">AY17</f>
        <v>-1</v>
      </c>
      <c r="BJ17" s="99">
        <f t="shared" ref="BJ17:BJ24" si="37">sumif(BC$17:BG$24,BC$17:BC$24,BD$17:BH$24)</f>
        <v>10</v>
      </c>
      <c r="BK17" s="97" t="str">
        <f t="shared" ref="BK17:BK24" si="38">BC17:BC24</f>
        <v>Jesse</v>
      </c>
      <c r="BM17" s="97"/>
    </row>
    <row r="18">
      <c r="A18" s="104"/>
      <c r="B18" s="104"/>
      <c r="C18" s="56" t="s">
        <v>82</v>
      </c>
      <c r="D18" s="105" t="str">
        <f>E128</f>
        <v>Berend</v>
      </c>
      <c r="E18" s="104"/>
      <c r="F18" s="104"/>
      <c r="T18" s="8" t="str">
        <f>E27</f>
        <v>Arjan</v>
      </c>
      <c r="U18" s="8">
        <f>C48</f>
        <v>10</v>
      </c>
      <c r="V18" s="108"/>
      <c r="AC18" s="8">
        <f t="shared" si="22"/>
        <v>10</v>
      </c>
      <c r="AD18" s="8">
        <f>V25</f>
        <v>5</v>
      </c>
      <c r="AE18" s="8">
        <f t="shared" si="23"/>
        <v>-5</v>
      </c>
      <c r="AF18" s="8" t="str">
        <f t="shared" si="24"/>
        <v>Arjan</v>
      </c>
      <c r="AH18" s="49" t="str">
        <f>K27</f>
        <v>Tjeard</v>
      </c>
      <c r="AI18" s="97">
        <f>I48</f>
        <v>15</v>
      </c>
      <c r="AJ18" s="96"/>
      <c r="AK18" s="49"/>
      <c r="AL18" s="49"/>
      <c r="AM18" s="97">
        <f t="shared" si="25"/>
        <v>15</v>
      </c>
      <c r="AN18" s="8">
        <f>AJ21</f>
        <v>9</v>
      </c>
      <c r="AO18" s="8">
        <f t="shared" si="26"/>
        <v>-6</v>
      </c>
      <c r="AP18" s="8" t="str">
        <f t="shared" si="27"/>
        <v>Tjeard</v>
      </c>
      <c r="AR18" s="49" t="str">
        <f>Q27</f>
        <v>Berend</v>
      </c>
      <c r="AS18" s="97">
        <f>O48</f>
        <v>8</v>
      </c>
      <c r="AT18" s="96"/>
      <c r="AU18" s="49"/>
      <c r="AV18" s="49"/>
      <c r="AW18" s="97">
        <f t="shared" si="28"/>
        <v>8</v>
      </c>
      <c r="AX18" s="8">
        <f>AT21</f>
        <v>9</v>
      </c>
      <c r="AY18" s="8">
        <f t="shared" si="29"/>
        <v>1</v>
      </c>
      <c r="AZ18" s="97" t="str">
        <f t="shared" si="30"/>
        <v>Berend</v>
      </c>
      <c r="BC18" s="97" t="str">
        <f t="shared" si="31"/>
        <v>Arjan</v>
      </c>
      <c r="BD18" s="99">
        <f t="shared" si="32"/>
        <v>-5</v>
      </c>
      <c r="BE18" s="97" t="str">
        <f t="shared" si="33"/>
        <v>Tjeard</v>
      </c>
      <c r="BF18" s="99">
        <f t="shared" si="34"/>
        <v>-6</v>
      </c>
      <c r="BG18" s="97" t="str">
        <f t="shared" si="35"/>
        <v>Berend</v>
      </c>
      <c r="BH18" s="99">
        <f t="shared" si="36"/>
        <v>1</v>
      </c>
      <c r="BJ18" s="99">
        <f t="shared" si="37"/>
        <v>-5</v>
      </c>
      <c r="BK18" s="97" t="str">
        <f t="shared" si="38"/>
        <v>Arjan</v>
      </c>
    </row>
    <row r="19">
      <c r="A19" s="56" t="s">
        <v>83</v>
      </c>
      <c r="B19" s="103" t="str">
        <f>F5</f>
        <v>Teun</v>
      </c>
      <c r="C19" s="104"/>
      <c r="D19" s="104"/>
      <c r="E19" s="104"/>
      <c r="F19" s="104"/>
      <c r="T19" s="8" t="str">
        <f>C53</f>
        <v>Tjeard</v>
      </c>
      <c r="W19" s="108"/>
      <c r="X19" s="8">
        <f>F74</f>
        <v>8</v>
      </c>
      <c r="AC19" s="8">
        <f t="shared" si="22"/>
        <v>8</v>
      </c>
      <c r="AD19" s="8">
        <f>W25</f>
        <v>10</v>
      </c>
      <c r="AE19" s="8">
        <f t="shared" si="23"/>
        <v>2</v>
      </c>
      <c r="AF19" s="8" t="str">
        <f t="shared" si="24"/>
        <v>Tjeard</v>
      </c>
      <c r="AH19" s="49" t="str">
        <f>I53</f>
        <v>Eminence Bruin</v>
      </c>
      <c r="AI19" s="49"/>
      <c r="AJ19" s="49"/>
      <c r="AK19" s="96"/>
      <c r="AL19" s="97">
        <f>L74</f>
        <v>11</v>
      </c>
      <c r="AM19" s="97">
        <f t="shared" si="25"/>
        <v>11</v>
      </c>
      <c r="AN19" s="8">
        <f>AK21</f>
        <v>5</v>
      </c>
      <c r="AO19" s="8">
        <f t="shared" si="26"/>
        <v>-6</v>
      </c>
      <c r="AP19" s="8" t="str">
        <f t="shared" si="27"/>
        <v>Eminence Bruin</v>
      </c>
      <c r="AR19" s="49" t="str">
        <f>O53</f>
        <v>Tjeard</v>
      </c>
      <c r="AS19" s="49"/>
      <c r="AT19" s="49"/>
      <c r="AU19" s="96"/>
      <c r="AV19" s="97">
        <f>R74</f>
        <v>8</v>
      </c>
      <c r="AW19" s="97">
        <f t="shared" si="28"/>
        <v>8</v>
      </c>
      <c r="AX19" s="8">
        <f>AU21</f>
        <v>10</v>
      </c>
      <c r="AY19" s="8">
        <f t="shared" si="29"/>
        <v>2</v>
      </c>
      <c r="AZ19" s="97" t="str">
        <f t="shared" si="30"/>
        <v>Tjeard</v>
      </c>
      <c r="BC19" s="97" t="str">
        <f t="shared" si="31"/>
        <v>Tjeard</v>
      </c>
      <c r="BD19" s="99">
        <f t="shared" si="32"/>
        <v>2</v>
      </c>
      <c r="BE19" s="97" t="str">
        <f t="shared" si="33"/>
        <v>Eminence Bruin</v>
      </c>
      <c r="BF19" s="99">
        <f t="shared" si="34"/>
        <v>-6</v>
      </c>
      <c r="BG19" s="97" t="str">
        <f t="shared" si="35"/>
        <v>Tjeard</v>
      </c>
      <c r="BH19" s="99">
        <f t="shared" si="36"/>
        <v>2</v>
      </c>
      <c r="BJ19" s="99">
        <f t="shared" si="37"/>
        <v>-2</v>
      </c>
      <c r="BK19" s="97" t="str">
        <f t="shared" si="38"/>
        <v>Tjeard</v>
      </c>
    </row>
    <row r="20">
      <c r="A20" s="104"/>
      <c r="B20" s="105" t="str">
        <f>N16</f>
        <v>Berend</v>
      </c>
      <c r="C20" s="104"/>
      <c r="D20" s="104"/>
      <c r="E20" s="104"/>
      <c r="F20" s="104"/>
      <c r="T20" s="8" t="str">
        <f>E53</f>
        <v>Rory</v>
      </c>
      <c r="W20" s="8">
        <f>C74</f>
        <v>10</v>
      </c>
      <c r="X20" s="108"/>
      <c r="AC20" s="8">
        <f t="shared" si="22"/>
        <v>10</v>
      </c>
      <c r="AD20" s="49">
        <f>X25</f>
        <v>8</v>
      </c>
      <c r="AE20" s="8">
        <f t="shared" si="23"/>
        <v>-2</v>
      </c>
      <c r="AF20" s="8" t="str">
        <f t="shared" si="24"/>
        <v>Rory</v>
      </c>
      <c r="AH20" s="49" t="str">
        <f>K53</f>
        <v>Berend</v>
      </c>
      <c r="AI20" s="49"/>
      <c r="AJ20" s="49"/>
      <c r="AK20" s="97">
        <f>I74</f>
        <v>5</v>
      </c>
      <c r="AL20" s="96"/>
      <c r="AM20" s="97">
        <f t="shared" si="25"/>
        <v>5</v>
      </c>
      <c r="AN20" s="49">
        <f>AL21</f>
        <v>11</v>
      </c>
      <c r="AO20" s="8">
        <f t="shared" si="26"/>
        <v>6</v>
      </c>
      <c r="AP20" s="8" t="str">
        <f t="shared" si="27"/>
        <v>Berend</v>
      </c>
      <c r="AR20" s="49" t="str">
        <f>Q53</f>
        <v>Eminence Bruin</v>
      </c>
      <c r="AS20" s="49"/>
      <c r="AT20" s="49"/>
      <c r="AU20" s="97">
        <f>O74</f>
        <v>10</v>
      </c>
      <c r="AV20" s="96"/>
      <c r="AW20" s="97">
        <f t="shared" si="28"/>
        <v>10</v>
      </c>
      <c r="AX20" s="49">
        <f>AV21</f>
        <v>8</v>
      </c>
      <c r="AY20" s="8">
        <f t="shared" si="29"/>
        <v>-2</v>
      </c>
      <c r="AZ20" s="97" t="str">
        <f t="shared" si="30"/>
        <v>Eminence Bruin</v>
      </c>
      <c r="BC20" s="97" t="str">
        <f t="shared" si="31"/>
        <v>Rory</v>
      </c>
      <c r="BD20" s="99">
        <f t="shared" si="32"/>
        <v>-2</v>
      </c>
      <c r="BE20" s="97" t="str">
        <f t="shared" si="33"/>
        <v>Berend</v>
      </c>
      <c r="BF20" s="99">
        <f t="shared" si="34"/>
        <v>6</v>
      </c>
      <c r="BG20" s="97" t="str">
        <f t="shared" si="35"/>
        <v>Eminence Bruin</v>
      </c>
      <c r="BH20" s="99">
        <f t="shared" si="36"/>
        <v>-2</v>
      </c>
      <c r="BJ20" s="99">
        <f t="shared" si="37"/>
        <v>-2</v>
      </c>
      <c r="BK20" s="97" t="str">
        <f t="shared" si="38"/>
        <v>Rory</v>
      </c>
    </row>
    <row r="21">
      <c r="A21" s="104"/>
      <c r="B21" s="104"/>
      <c r="C21" s="104"/>
      <c r="D21" s="104"/>
      <c r="E21" s="56" t="s">
        <v>84</v>
      </c>
      <c r="F21" s="103" t="str">
        <f>K51</f>
        <v>Tjeard</v>
      </c>
      <c r="T21" s="8" t="str">
        <f>C79</f>
        <v>Tim the Burgundy Enchanter</v>
      </c>
      <c r="Y21" s="108"/>
      <c r="Z21" s="8">
        <f>F100</f>
        <v>13</v>
      </c>
      <c r="AC21" s="8">
        <f t="shared" si="22"/>
        <v>13</v>
      </c>
      <c r="AD21" s="49">
        <f>Y25</f>
        <v>7</v>
      </c>
      <c r="AE21" s="8">
        <f t="shared" si="23"/>
        <v>-6</v>
      </c>
      <c r="AF21" s="8" t="str">
        <f t="shared" si="24"/>
        <v>Tim the Burgundy Enchanter</v>
      </c>
      <c r="AH21" s="40" t="s">
        <v>3</v>
      </c>
      <c r="AI21" s="97">
        <f t="shared" ref="AI21:AL21" si="39">SUMIF(AI17:AI20, "&gt;0", AI17:AI20)</f>
        <v>15</v>
      </c>
      <c r="AJ21" s="97">
        <f t="shared" si="39"/>
        <v>9</v>
      </c>
      <c r="AK21" s="97">
        <f t="shared" si="39"/>
        <v>5</v>
      </c>
      <c r="AL21" s="97">
        <f t="shared" si="39"/>
        <v>11</v>
      </c>
      <c r="AM21" s="97"/>
      <c r="AN21" s="49" t="str">
        <f>AI25</f>
        <v/>
      </c>
      <c r="AO21" s="8">
        <f>SUMIF(AO17:AO20,"&gt;0",AO17:AO20)+1</f>
        <v>13</v>
      </c>
      <c r="AR21" s="40" t="s">
        <v>3</v>
      </c>
      <c r="AS21" s="97">
        <f t="shared" ref="AS21:AV21" si="40">SUMIF(AS17:AS20, "&gt;0", AS17:AS20)</f>
        <v>8</v>
      </c>
      <c r="AT21" s="97">
        <f t="shared" si="40"/>
        <v>9</v>
      </c>
      <c r="AU21" s="97">
        <f t="shared" si="40"/>
        <v>10</v>
      </c>
      <c r="AV21" s="97">
        <f t="shared" si="40"/>
        <v>8</v>
      </c>
      <c r="AX21" s="49" t="str">
        <f>AS25</f>
        <v/>
      </c>
      <c r="AY21" s="8">
        <f>SUMIF(AY17:AY20,"&gt;0",AY17:AY20)+1</f>
        <v>4</v>
      </c>
      <c r="BC21" s="97" t="str">
        <f t="shared" si="31"/>
        <v>Tim the Burgundy Enchanter</v>
      </c>
      <c r="BD21" s="99">
        <f t="shared" si="32"/>
        <v>-6</v>
      </c>
      <c r="BE21" s="97" t="str">
        <f t="shared" si="33"/>
        <v/>
      </c>
      <c r="BF21" s="97">
        <f t="shared" si="34"/>
        <v>13</v>
      </c>
      <c r="BJ21" s="99">
        <f t="shared" si="37"/>
        <v>-6</v>
      </c>
      <c r="BK21" s="97" t="str">
        <f t="shared" si="38"/>
        <v>Tim the Burgundy Enchanter</v>
      </c>
    </row>
    <row r="22">
      <c r="A22" s="104"/>
      <c r="B22" s="104"/>
      <c r="C22" s="104"/>
      <c r="D22" s="104"/>
      <c r="E22" s="104"/>
      <c r="F22" s="105" t="str">
        <f>K77</f>
        <v>Eminence Bruin</v>
      </c>
      <c r="T22" s="8" t="str">
        <f>E79</f>
        <v>Eminence Bruin</v>
      </c>
      <c r="Y22" s="8">
        <f>C100</f>
        <v>7</v>
      </c>
      <c r="Z22" s="108"/>
      <c r="AC22" s="8">
        <f t="shared" si="22"/>
        <v>7</v>
      </c>
      <c r="AD22" s="49">
        <f>Z25</f>
        <v>13</v>
      </c>
      <c r="AE22" s="8">
        <f t="shared" si="23"/>
        <v>6</v>
      </c>
      <c r="AF22" s="8" t="str">
        <f t="shared" si="24"/>
        <v>Eminence Bruin</v>
      </c>
      <c r="AN22" s="49" t="str">
        <f>AJ25</f>
        <v/>
      </c>
      <c r="AX22" s="49"/>
      <c r="BC22" s="97" t="str">
        <f t="shared" si="31"/>
        <v>Eminence Bruin</v>
      </c>
      <c r="BD22" s="99">
        <f t="shared" si="32"/>
        <v>6</v>
      </c>
      <c r="BE22" s="97" t="str">
        <f t="shared" si="33"/>
        <v/>
      </c>
      <c r="BF22" s="97" t="str">
        <f t="shared" si="34"/>
        <v/>
      </c>
      <c r="BJ22" s="99">
        <f t="shared" si="37"/>
        <v>-2</v>
      </c>
      <c r="BK22" s="97" t="str">
        <f t="shared" si="38"/>
        <v>Eminence Bruin</v>
      </c>
    </row>
    <row r="23">
      <c r="T23" s="8" t="str">
        <f>C105</f>
        <v>Teun</v>
      </c>
      <c r="AA23" s="108"/>
      <c r="AB23" s="8">
        <f>F126</f>
        <v>16</v>
      </c>
      <c r="AC23" s="8">
        <f t="shared" si="22"/>
        <v>16</v>
      </c>
      <c r="AD23" s="49">
        <f>AA25</f>
        <v>9</v>
      </c>
      <c r="AE23" s="8">
        <f t="shared" si="23"/>
        <v>-7</v>
      </c>
      <c r="AF23" s="8" t="str">
        <f t="shared" si="24"/>
        <v>Teun</v>
      </c>
      <c r="AN23" s="49" t="str">
        <f>AK25</f>
        <v/>
      </c>
      <c r="AX23" s="49"/>
      <c r="BC23" s="97" t="str">
        <f t="shared" si="31"/>
        <v>Teun</v>
      </c>
      <c r="BD23" s="99">
        <f t="shared" si="32"/>
        <v>-7</v>
      </c>
      <c r="BE23" s="97" t="str">
        <f t="shared" si="33"/>
        <v/>
      </c>
      <c r="BF23" s="97" t="str">
        <f t="shared" si="34"/>
        <v/>
      </c>
      <c r="BJ23" s="99">
        <f t="shared" si="37"/>
        <v>-7</v>
      </c>
      <c r="BK23" s="97" t="str">
        <f t="shared" si="38"/>
        <v>Teun</v>
      </c>
    </row>
    <row r="24">
      <c r="T24" s="8" t="str">
        <f>E105</f>
        <v>Berend</v>
      </c>
      <c r="AA24" s="8">
        <f>C126</f>
        <v>9</v>
      </c>
      <c r="AB24" s="108"/>
      <c r="AC24" s="8">
        <f t="shared" si="22"/>
        <v>9</v>
      </c>
      <c r="AD24" s="8">
        <f>AB25</f>
        <v>16</v>
      </c>
      <c r="AE24" s="8">
        <f t="shared" si="23"/>
        <v>7</v>
      </c>
      <c r="AF24" s="8" t="str">
        <f t="shared" si="24"/>
        <v>Berend</v>
      </c>
      <c r="AN24" s="8" t="str">
        <f>AL25</f>
        <v/>
      </c>
      <c r="BC24" s="97" t="str">
        <f t="shared" si="31"/>
        <v>Berend</v>
      </c>
      <c r="BD24" s="99">
        <f t="shared" si="32"/>
        <v>7</v>
      </c>
      <c r="BE24" s="97" t="str">
        <f t="shared" si="33"/>
        <v/>
      </c>
      <c r="BF24" s="97" t="str">
        <f t="shared" si="34"/>
        <v/>
      </c>
      <c r="BJ24" s="99">
        <f t="shared" si="37"/>
        <v>14</v>
      </c>
      <c r="BK24" s="97" t="str">
        <f t="shared" si="38"/>
        <v>Berend</v>
      </c>
    </row>
    <row r="25">
      <c r="T25" s="56" t="s">
        <v>3</v>
      </c>
      <c r="U25" s="8">
        <f t="shared" ref="U25:AB25" si="41">SUMIF(U17:U24, "&gt;0", U17:U24)</f>
        <v>10</v>
      </c>
      <c r="V25" s="8">
        <f t="shared" si="41"/>
        <v>5</v>
      </c>
      <c r="W25" s="8">
        <f t="shared" si="41"/>
        <v>10</v>
      </c>
      <c r="X25" s="8">
        <f t="shared" si="41"/>
        <v>8</v>
      </c>
      <c r="Y25" s="8">
        <f t="shared" si="41"/>
        <v>7</v>
      </c>
      <c r="Z25" s="8">
        <f t="shared" si="41"/>
        <v>13</v>
      </c>
      <c r="AA25" s="8">
        <f t="shared" si="41"/>
        <v>9</v>
      </c>
      <c r="AB25" s="8">
        <f t="shared" si="41"/>
        <v>16</v>
      </c>
      <c r="AE25" s="8">
        <f>SUMIF(AE17:AE24,"&gt;0",AE17:AE24)+1</f>
        <v>21</v>
      </c>
    </row>
    <row r="27">
      <c r="B27" s="109" t="str">
        <f t="shared" ref="B27:C27" si="42">A10</f>
        <v>Quarter Final 1</v>
      </c>
      <c r="C27" s="58" t="str">
        <f t="shared" si="42"/>
        <v>Jesse</v>
      </c>
      <c r="D27" s="15"/>
      <c r="E27" s="59" t="str">
        <f>B11</f>
        <v>Arjan</v>
      </c>
      <c r="F27" s="15"/>
      <c r="H27" s="109" t="str">
        <f t="shared" ref="H27:I27" si="43">C12</f>
        <v>Semifinal 1</v>
      </c>
      <c r="I27" s="58" t="str">
        <f t="shared" si="43"/>
        <v>Jesse</v>
      </c>
      <c r="J27" s="15"/>
      <c r="K27" s="59" t="str">
        <f>D13</f>
        <v>Tjeard</v>
      </c>
      <c r="L27" s="15"/>
      <c r="N27" s="109" t="str">
        <f t="shared" ref="N27:O27" si="44">E14</f>
        <v>Final</v>
      </c>
      <c r="O27" s="58" t="str">
        <f t="shared" si="44"/>
        <v>Jesse</v>
      </c>
      <c r="P27" s="15"/>
      <c r="Q27" s="59" t="str">
        <f>F15</f>
        <v>Berend</v>
      </c>
      <c r="R27" s="15"/>
    </row>
    <row r="28">
      <c r="B28" s="18" t="s">
        <v>36</v>
      </c>
      <c r="C28" s="13">
        <f t="shared" ref="C28:C47" si="45">IF(AND(D28&gt;0,E28&gt;0), 0, D28)</f>
        <v>2</v>
      </c>
      <c r="D28" s="60">
        <v>2.0</v>
      </c>
      <c r="E28" s="61"/>
      <c r="F28" s="62" t="str">
        <f t="shared" ref="F28:F47" si="46">IF(AND(D28&gt;0,E28&gt;0), 0, E28)</f>
        <v/>
      </c>
      <c r="H28" s="18" t="s">
        <v>36</v>
      </c>
      <c r="I28" s="13">
        <f t="shared" ref="I28:I47" si="47">IF(AND(J28&gt;0,K28&gt;0), 0, J28)</f>
        <v>2</v>
      </c>
      <c r="J28" s="60">
        <v>2.0</v>
      </c>
      <c r="K28" s="61"/>
      <c r="L28" s="62" t="str">
        <f t="shared" ref="L28:L47" si="48">IF(AND(J28&gt;0,K28&gt;0), 0, K28)</f>
        <v/>
      </c>
      <c r="N28" s="18" t="s">
        <v>36</v>
      </c>
      <c r="O28" s="13">
        <f t="shared" ref="O28:O47" si="49">IF(AND(P28&gt;0,Q28&gt;0), 0, P28)</f>
        <v>2</v>
      </c>
      <c r="P28" s="60">
        <v>2.0</v>
      </c>
      <c r="Q28" s="61"/>
      <c r="R28" s="62" t="str">
        <f t="shared" ref="R28:R47" si="50">IF(AND(P28&gt;0,Q28&gt;0), 0, Q28)</f>
        <v/>
      </c>
    </row>
    <row r="29">
      <c r="B29" s="18" t="s">
        <v>37</v>
      </c>
      <c r="C29" s="13">
        <f t="shared" si="45"/>
        <v>0</v>
      </c>
      <c r="D29" s="60">
        <v>2.0</v>
      </c>
      <c r="E29" s="61">
        <v>2.0</v>
      </c>
      <c r="F29" s="62">
        <f t="shared" si="46"/>
        <v>0</v>
      </c>
      <c r="H29" s="18" t="s">
        <v>37</v>
      </c>
      <c r="I29" s="13">
        <f t="shared" si="47"/>
        <v>3</v>
      </c>
      <c r="J29" s="60">
        <v>3.0</v>
      </c>
      <c r="K29" s="61"/>
      <c r="L29" s="62" t="str">
        <f t="shared" si="48"/>
        <v/>
      </c>
      <c r="N29" s="18" t="s">
        <v>37</v>
      </c>
      <c r="O29" s="13" t="str">
        <f t="shared" si="49"/>
        <v/>
      </c>
      <c r="P29" s="65"/>
      <c r="Q29" s="61">
        <v>2.0</v>
      </c>
      <c r="R29" s="62">
        <f t="shared" si="50"/>
        <v>2</v>
      </c>
    </row>
    <row r="30">
      <c r="B30" s="18" t="s">
        <v>38</v>
      </c>
      <c r="C30" s="13">
        <f t="shared" si="45"/>
        <v>2</v>
      </c>
      <c r="D30" s="60">
        <v>2.0</v>
      </c>
      <c r="E30" s="61"/>
      <c r="F30" s="62" t="str">
        <f t="shared" si="46"/>
        <v/>
      </c>
      <c r="H30" s="18" t="s">
        <v>38</v>
      </c>
      <c r="I30" s="13">
        <f t="shared" si="47"/>
        <v>2</v>
      </c>
      <c r="J30" s="60">
        <v>2.0</v>
      </c>
      <c r="K30" s="61"/>
      <c r="L30" s="62" t="str">
        <f t="shared" si="48"/>
        <v/>
      </c>
      <c r="N30" s="18" t="s">
        <v>38</v>
      </c>
      <c r="O30" s="13" t="str">
        <f t="shared" si="49"/>
        <v/>
      </c>
      <c r="P30" s="60"/>
      <c r="Q30" s="61"/>
      <c r="R30" s="62" t="str">
        <f t="shared" si="50"/>
        <v/>
      </c>
    </row>
    <row r="31">
      <c r="B31" s="18" t="s">
        <v>39</v>
      </c>
      <c r="C31" s="13" t="str">
        <f t="shared" si="45"/>
        <v/>
      </c>
      <c r="D31" s="65"/>
      <c r="E31" s="61">
        <v>2.0</v>
      </c>
      <c r="F31" s="62">
        <f t="shared" si="46"/>
        <v>2</v>
      </c>
      <c r="H31" s="18" t="s">
        <v>39</v>
      </c>
      <c r="I31" s="13">
        <f t="shared" si="47"/>
        <v>0</v>
      </c>
      <c r="J31" s="60">
        <v>2.0</v>
      </c>
      <c r="K31" s="61">
        <v>2.0</v>
      </c>
      <c r="L31" s="62">
        <f t="shared" si="48"/>
        <v>0</v>
      </c>
      <c r="N31" s="18" t="s">
        <v>39</v>
      </c>
      <c r="O31" s="13">
        <f t="shared" si="49"/>
        <v>2</v>
      </c>
      <c r="P31" s="60">
        <v>2.0</v>
      </c>
      <c r="Q31" s="64"/>
      <c r="R31" s="62" t="str">
        <f t="shared" si="50"/>
        <v/>
      </c>
    </row>
    <row r="32">
      <c r="B32" s="18" t="s">
        <v>40</v>
      </c>
      <c r="C32" s="13">
        <f t="shared" si="45"/>
        <v>0</v>
      </c>
      <c r="D32" s="60">
        <v>3.0</v>
      </c>
      <c r="E32" s="61">
        <v>2.0</v>
      </c>
      <c r="F32" s="62">
        <f t="shared" si="46"/>
        <v>0</v>
      </c>
      <c r="H32" s="18" t="s">
        <v>40</v>
      </c>
      <c r="I32" s="13">
        <f t="shared" si="47"/>
        <v>2</v>
      </c>
      <c r="J32" s="60">
        <v>2.0</v>
      </c>
      <c r="K32" s="64"/>
      <c r="L32" s="62" t="str">
        <f t="shared" si="48"/>
        <v/>
      </c>
      <c r="N32" s="18" t="s">
        <v>40</v>
      </c>
      <c r="O32" s="13">
        <f t="shared" si="49"/>
        <v>2</v>
      </c>
      <c r="P32" s="60">
        <v>2.0</v>
      </c>
      <c r="Q32" s="64"/>
      <c r="R32" s="62" t="str">
        <f t="shared" si="50"/>
        <v/>
      </c>
    </row>
    <row r="33">
      <c r="B33" s="18" t="s">
        <v>42</v>
      </c>
      <c r="C33" s="13">
        <f t="shared" si="45"/>
        <v>0</v>
      </c>
      <c r="D33" s="60">
        <v>2.0</v>
      </c>
      <c r="E33" s="61">
        <v>3.0</v>
      </c>
      <c r="F33" s="62">
        <f t="shared" si="46"/>
        <v>0</v>
      </c>
      <c r="H33" s="18" t="s">
        <v>42</v>
      </c>
      <c r="I33" s="13" t="str">
        <f t="shared" si="47"/>
        <v/>
      </c>
      <c r="J33" s="65"/>
      <c r="K33" s="61">
        <v>3.0</v>
      </c>
      <c r="L33" s="62">
        <f t="shared" si="48"/>
        <v>3</v>
      </c>
      <c r="N33" s="18" t="s">
        <v>42</v>
      </c>
      <c r="O33" s="13" t="str">
        <f t="shared" si="49"/>
        <v/>
      </c>
      <c r="P33" s="65"/>
      <c r="Q33" s="61">
        <v>3.0</v>
      </c>
      <c r="R33" s="62">
        <f t="shared" si="50"/>
        <v>3</v>
      </c>
    </row>
    <row r="34">
      <c r="B34" s="18" t="s">
        <v>43</v>
      </c>
      <c r="C34" s="13">
        <f t="shared" si="45"/>
        <v>2</v>
      </c>
      <c r="D34" s="60">
        <v>2.0</v>
      </c>
      <c r="E34" s="64"/>
      <c r="F34" s="62" t="str">
        <f t="shared" si="46"/>
        <v/>
      </c>
      <c r="H34" s="18" t="s">
        <v>43</v>
      </c>
      <c r="I34" s="13" t="str">
        <f t="shared" si="47"/>
        <v/>
      </c>
      <c r="J34" s="65"/>
      <c r="K34" s="61">
        <v>3.0</v>
      </c>
      <c r="L34" s="62">
        <f t="shared" si="48"/>
        <v>3</v>
      </c>
      <c r="N34" s="18" t="s">
        <v>43</v>
      </c>
      <c r="O34" s="13">
        <f t="shared" si="49"/>
        <v>0</v>
      </c>
      <c r="P34" s="60">
        <v>2.0</v>
      </c>
      <c r="Q34" s="61">
        <v>3.0</v>
      </c>
      <c r="R34" s="62">
        <f t="shared" si="50"/>
        <v>0</v>
      </c>
    </row>
    <row r="35">
      <c r="B35" s="18" t="s">
        <v>44</v>
      </c>
      <c r="C35" s="13">
        <f t="shared" si="45"/>
        <v>2</v>
      </c>
      <c r="D35" s="60">
        <v>2.0</v>
      </c>
      <c r="E35" s="64"/>
      <c r="F35" s="62" t="str">
        <f t="shared" si="46"/>
        <v/>
      </c>
      <c r="H35" s="18" t="s">
        <v>44</v>
      </c>
      <c r="I35" s="13">
        <f t="shared" si="47"/>
        <v>2</v>
      </c>
      <c r="J35" s="60">
        <v>2.0</v>
      </c>
      <c r="K35" s="64"/>
      <c r="L35" s="62" t="str">
        <f t="shared" si="48"/>
        <v/>
      </c>
      <c r="N35" s="18" t="s">
        <v>44</v>
      </c>
      <c r="O35" s="13">
        <f t="shared" si="49"/>
        <v>0</v>
      </c>
      <c r="P35" s="60">
        <v>2.0</v>
      </c>
      <c r="Q35" s="61">
        <v>2.0</v>
      </c>
      <c r="R35" s="62">
        <f t="shared" si="50"/>
        <v>0</v>
      </c>
    </row>
    <row r="36">
      <c r="B36" s="18" t="s">
        <v>45</v>
      </c>
      <c r="C36" s="13">
        <f t="shared" si="45"/>
        <v>2</v>
      </c>
      <c r="D36" s="60">
        <v>2.0</v>
      </c>
      <c r="E36" s="64"/>
      <c r="F36" s="62" t="str">
        <f t="shared" si="46"/>
        <v/>
      </c>
      <c r="H36" s="18" t="s">
        <v>45</v>
      </c>
      <c r="I36" s="13" t="str">
        <f t="shared" si="47"/>
        <v/>
      </c>
      <c r="J36" s="65"/>
      <c r="K36" s="61">
        <v>2.0</v>
      </c>
      <c r="L36" s="62">
        <f t="shared" si="48"/>
        <v>2</v>
      </c>
      <c r="N36" s="18" t="s">
        <v>45</v>
      </c>
      <c r="O36" s="13">
        <f t="shared" si="49"/>
        <v>2</v>
      </c>
      <c r="P36" s="60">
        <v>2.0</v>
      </c>
      <c r="Q36" s="64"/>
      <c r="R36" s="62" t="str">
        <f t="shared" si="50"/>
        <v/>
      </c>
    </row>
    <row r="37">
      <c r="B37" s="18" t="s">
        <v>46</v>
      </c>
      <c r="C37" s="13" t="str">
        <f t="shared" si="45"/>
        <v/>
      </c>
      <c r="D37" s="65"/>
      <c r="E37" s="61">
        <v>3.0</v>
      </c>
      <c r="F37" s="62">
        <f t="shared" si="46"/>
        <v>3</v>
      </c>
      <c r="H37" s="18" t="s">
        <v>46</v>
      </c>
      <c r="I37" s="13">
        <f t="shared" si="47"/>
        <v>2</v>
      </c>
      <c r="J37" s="60">
        <v>2.0</v>
      </c>
      <c r="K37" s="64"/>
      <c r="L37" s="62" t="str">
        <f t="shared" si="48"/>
        <v/>
      </c>
      <c r="N37" s="18" t="s">
        <v>46</v>
      </c>
      <c r="O37" s="13">
        <f t="shared" si="49"/>
        <v>0</v>
      </c>
      <c r="P37" s="60">
        <v>2.0</v>
      </c>
      <c r="Q37" s="61">
        <v>2.0</v>
      </c>
      <c r="R37" s="62">
        <f t="shared" si="50"/>
        <v>0</v>
      </c>
    </row>
    <row r="38">
      <c r="B38" s="18" t="s">
        <v>47</v>
      </c>
      <c r="C38" s="13">
        <f t="shared" si="45"/>
        <v>0</v>
      </c>
      <c r="D38" s="60">
        <v>2.0</v>
      </c>
      <c r="E38" s="61">
        <v>2.0</v>
      </c>
      <c r="F38" s="62">
        <f t="shared" si="46"/>
        <v>0</v>
      </c>
      <c r="H38" s="18" t="s">
        <v>47</v>
      </c>
      <c r="I38" s="13">
        <f t="shared" si="47"/>
        <v>2</v>
      </c>
      <c r="J38" s="60">
        <v>2.0</v>
      </c>
      <c r="K38" s="64"/>
      <c r="L38" s="62" t="str">
        <f t="shared" si="48"/>
        <v/>
      </c>
      <c r="N38" s="18" t="s">
        <v>47</v>
      </c>
      <c r="O38" s="13" t="str">
        <f t="shared" si="49"/>
        <v/>
      </c>
      <c r="P38" s="65"/>
      <c r="Q38" s="61">
        <v>2.0</v>
      </c>
      <c r="R38" s="62">
        <f t="shared" si="50"/>
        <v>2</v>
      </c>
    </row>
    <row r="39">
      <c r="B39" s="18" t="s">
        <v>48</v>
      </c>
      <c r="C39" s="13" t="str">
        <f t="shared" si="45"/>
        <v/>
      </c>
      <c r="D39" s="65"/>
      <c r="E39" s="64"/>
      <c r="F39" s="62" t="str">
        <f t="shared" si="46"/>
        <v/>
      </c>
      <c r="H39" s="18" t="s">
        <v>48</v>
      </c>
      <c r="I39" s="13" t="str">
        <f t="shared" si="47"/>
        <v/>
      </c>
      <c r="J39" s="65"/>
      <c r="K39" s="61">
        <v>1.0</v>
      </c>
      <c r="L39" s="62">
        <f t="shared" si="48"/>
        <v>1</v>
      </c>
      <c r="N39" s="18" t="s">
        <v>48</v>
      </c>
      <c r="O39" s="13" t="str">
        <f t="shared" si="49"/>
        <v/>
      </c>
      <c r="P39" s="65"/>
      <c r="Q39" s="61">
        <v>2.0</v>
      </c>
      <c r="R39" s="62">
        <f t="shared" si="50"/>
        <v>2</v>
      </c>
    </row>
    <row r="40">
      <c r="B40" s="18" t="s">
        <v>49</v>
      </c>
      <c r="C40" s="13" t="str">
        <f t="shared" si="45"/>
        <v/>
      </c>
      <c r="D40" s="60"/>
      <c r="E40" s="64"/>
      <c r="F40" s="62" t="str">
        <f t="shared" si="46"/>
        <v/>
      </c>
      <c r="H40" s="18" t="s">
        <v>49</v>
      </c>
      <c r="I40" s="13" t="str">
        <f t="shared" si="47"/>
        <v/>
      </c>
      <c r="J40" s="65"/>
      <c r="K40" s="64"/>
      <c r="L40" s="62" t="str">
        <f t="shared" si="48"/>
        <v/>
      </c>
      <c r="N40" s="18" t="s">
        <v>49</v>
      </c>
      <c r="O40" s="13" t="str">
        <f t="shared" si="49"/>
        <v/>
      </c>
      <c r="P40" s="60"/>
      <c r="Q40" s="64"/>
      <c r="R40" s="62" t="str">
        <f t="shared" si="50"/>
        <v/>
      </c>
    </row>
    <row r="41">
      <c r="B41" s="18" t="s">
        <v>50</v>
      </c>
      <c r="C41" s="13" t="str">
        <f t="shared" si="45"/>
        <v/>
      </c>
      <c r="D41" s="65"/>
      <c r="E41" s="64"/>
      <c r="F41" s="62" t="str">
        <f t="shared" si="46"/>
        <v/>
      </c>
      <c r="H41" s="18" t="s">
        <v>50</v>
      </c>
      <c r="I41" s="13" t="str">
        <f t="shared" si="47"/>
        <v/>
      </c>
      <c r="J41" s="65"/>
      <c r="K41" s="64"/>
      <c r="L41" s="62" t="str">
        <f t="shared" si="48"/>
        <v/>
      </c>
      <c r="N41" s="18" t="s">
        <v>50</v>
      </c>
      <c r="O41" s="13" t="str">
        <f t="shared" si="49"/>
        <v/>
      </c>
      <c r="P41" s="65"/>
      <c r="Q41" s="64"/>
      <c r="R41" s="62" t="str">
        <f t="shared" si="50"/>
        <v/>
      </c>
    </row>
    <row r="42">
      <c r="B42" s="18" t="s">
        <v>51</v>
      </c>
      <c r="C42" s="13" t="str">
        <f t="shared" si="45"/>
        <v/>
      </c>
      <c r="D42" s="66"/>
      <c r="E42" s="69"/>
      <c r="F42" s="62" t="str">
        <f t="shared" si="46"/>
        <v/>
      </c>
      <c r="H42" s="18" t="s">
        <v>51</v>
      </c>
      <c r="I42" s="13" t="str">
        <f t="shared" si="47"/>
        <v/>
      </c>
      <c r="J42" s="66"/>
      <c r="K42" s="69"/>
      <c r="L42" s="62" t="str">
        <f t="shared" si="48"/>
        <v/>
      </c>
      <c r="N42" s="18" t="s">
        <v>51</v>
      </c>
      <c r="O42" s="13" t="str">
        <f t="shared" si="49"/>
        <v/>
      </c>
      <c r="P42" s="66"/>
      <c r="Q42" s="69"/>
      <c r="R42" s="62" t="str">
        <f t="shared" si="50"/>
        <v/>
      </c>
    </row>
    <row r="43">
      <c r="B43" s="18" t="s">
        <v>85</v>
      </c>
      <c r="C43" s="13" t="str">
        <f t="shared" si="45"/>
        <v/>
      </c>
      <c r="D43" s="66"/>
      <c r="E43" s="69"/>
      <c r="F43" s="62" t="str">
        <f t="shared" si="46"/>
        <v/>
      </c>
      <c r="H43" s="18" t="s">
        <v>85</v>
      </c>
      <c r="I43" s="13" t="str">
        <f t="shared" si="47"/>
        <v/>
      </c>
      <c r="J43" s="66"/>
      <c r="K43" s="69"/>
      <c r="L43" s="62" t="str">
        <f t="shared" si="48"/>
        <v/>
      </c>
      <c r="N43" s="18" t="s">
        <v>85</v>
      </c>
      <c r="O43" s="13" t="str">
        <f t="shared" si="49"/>
        <v/>
      </c>
      <c r="P43" s="66"/>
      <c r="Q43" s="69"/>
      <c r="R43" s="62" t="str">
        <f t="shared" si="50"/>
        <v/>
      </c>
    </row>
    <row r="44">
      <c r="B44" s="18" t="s">
        <v>86</v>
      </c>
      <c r="C44" s="13" t="str">
        <f t="shared" si="45"/>
        <v/>
      </c>
      <c r="D44" s="66"/>
      <c r="E44" s="69"/>
      <c r="F44" s="62" t="str">
        <f t="shared" si="46"/>
        <v/>
      </c>
      <c r="H44" s="18" t="s">
        <v>86</v>
      </c>
      <c r="I44" s="13" t="str">
        <f t="shared" si="47"/>
        <v/>
      </c>
      <c r="J44" s="66"/>
      <c r="K44" s="69"/>
      <c r="L44" s="62" t="str">
        <f t="shared" si="48"/>
        <v/>
      </c>
      <c r="N44" s="18" t="s">
        <v>86</v>
      </c>
      <c r="O44" s="13" t="str">
        <f t="shared" si="49"/>
        <v/>
      </c>
      <c r="P44" s="66"/>
      <c r="Q44" s="69"/>
      <c r="R44" s="62" t="str">
        <f t="shared" si="50"/>
        <v/>
      </c>
    </row>
    <row r="45">
      <c r="B45" s="18" t="s">
        <v>87</v>
      </c>
      <c r="C45" s="13" t="str">
        <f t="shared" si="45"/>
        <v/>
      </c>
      <c r="D45" s="66"/>
      <c r="E45" s="69"/>
      <c r="F45" s="62" t="str">
        <f t="shared" si="46"/>
        <v/>
      </c>
      <c r="H45" s="18" t="s">
        <v>87</v>
      </c>
      <c r="I45" s="13" t="str">
        <f t="shared" si="47"/>
        <v/>
      </c>
      <c r="J45" s="66"/>
      <c r="K45" s="69"/>
      <c r="L45" s="62" t="str">
        <f t="shared" si="48"/>
        <v/>
      </c>
      <c r="N45" s="18" t="s">
        <v>87</v>
      </c>
      <c r="O45" s="13" t="str">
        <f t="shared" si="49"/>
        <v/>
      </c>
      <c r="P45" s="66"/>
      <c r="Q45" s="69"/>
      <c r="R45" s="62" t="str">
        <f t="shared" si="50"/>
        <v/>
      </c>
    </row>
    <row r="46">
      <c r="B46" s="18" t="s">
        <v>88</v>
      </c>
      <c r="C46" s="13" t="str">
        <f t="shared" si="45"/>
        <v/>
      </c>
      <c r="D46" s="66"/>
      <c r="E46" s="69"/>
      <c r="F46" s="62" t="str">
        <f t="shared" si="46"/>
        <v/>
      </c>
      <c r="H46" s="18" t="s">
        <v>88</v>
      </c>
      <c r="I46" s="13" t="str">
        <f t="shared" si="47"/>
        <v/>
      </c>
      <c r="J46" s="66"/>
      <c r="K46" s="69"/>
      <c r="L46" s="62" t="str">
        <f t="shared" si="48"/>
        <v/>
      </c>
      <c r="N46" s="18" t="s">
        <v>88</v>
      </c>
      <c r="O46" s="13" t="str">
        <f t="shared" si="49"/>
        <v/>
      </c>
      <c r="P46" s="66"/>
      <c r="Q46" s="69"/>
      <c r="R46" s="62" t="str">
        <f t="shared" si="50"/>
        <v/>
      </c>
    </row>
    <row r="47">
      <c r="B47" s="18" t="s">
        <v>89</v>
      </c>
      <c r="C47" s="13" t="str">
        <f t="shared" si="45"/>
        <v/>
      </c>
      <c r="D47" s="66"/>
      <c r="E47" s="69"/>
      <c r="F47" s="62" t="str">
        <f t="shared" si="46"/>
        <v/>
      </c>
      <c r="H47" s="18" t="s">
        <v>89</v>
      </c>
      <c r="I47" s="13" t="str">
        <f t="shared" si="47"/>
        <v/>
      </c>
      <c r="J47" s="66"/>
      <c r="K47" s="69"/>
      <c r="L47" s="62" t="str">
        <f t="shared" si="48"/>
        <v/>
      </c>
      <c r="N47" s="18" t="s">
        <v>89</v>
      </c>
      <c r="O47" s="13" t="str">
        <f t="shared" si="49"/>
        <v/>
      </c>
      <c r="P47" s="66"/>
      <c r="Q47" s="69"/>
      <c r="R47" s="62" t="str">
        <f t="shared" si="50"/>
        <v/>
      </c>
    </row>
    <row r="48">
      <c r="B48" s="18" t="s">
        <v>52</v>
      </c>
      <c r="C48" s="70">
        <f>SUM(C28:C47)</f>
        <v>10</v>
      </c>
      <c r="D48" s="33">
        <f>COUNTIFS(D28:D47, "&lt;&gt;0", D28:D47, "&lt;&gt;", E28:E47, "&lt;&gt;0", E28:E47, "&lt;&gt;")</f>
        <v>4</v>
      </c>
      <c r="E48" s="33">
        <f>COUNTIFS(D28:D47, "&lt;&gt;0", D28:D47, "&lt;&gt;", E28:E47, "&lt;&gt;0", E28:E47, "&lt;&gt;")</f>
        <v>4</v>
      </c>
      <c r="F48" s="70">
        <f>SUM(F28:F47)</f>
        <v>5</v>
      </c>
      <c r="H48" s="18" t="s">
        <v>52</v>
      </c>
      <c r="I48" s="70">
        <f>SUM(I28:I47)</f>
        <v>15</v>
      </c>
      <c r="J48" s="33">
        <f>COUNTIFS(J28:J47, "&lt;&gt;0", J28:J47, "&lt;&gt;", K28:K47, "&lt;&gt;0", K28:K47, "&lt;&gt;")</f>
        <v>1</v>
      </c>
      <c r="K48" s="33">
        <f>COUNTIFS(J28:J47, "&lt;&gt;0", J28:J47, "&lt;&gt;", K28:K47, "&lt;&gt;0", K28:K47, "&lt;&gt;")</f>
        <v>1</v>
      </c>
      <c r="L48" s="70">
        <f>SUM(L28:L47)</f>
        <v>9</v>
      </c>
      <c r="N48" s="18" t="s">
        <v>52</v>
      </c>
      <c r="O48" s="70">
        <f>SUM(O28:O47)</f>
        <v>8</v>
      </c>
      <c r="P48" s="33">
        <f>COUNTIFS(P28:P47, "&lt;&gt;0", P28:P47, "&lt;&gt;", Q28:Q47, "&lt;&gt;0", Q28:Q47, "&lt;&gt;")</f>
        <v>3</v>
      </c>
      <c r="Q48" s="33">
        <f>COUNTIFS(P28:P47, "&lt;&gt;0", P28:P47, "&lt;&gt;", Q28:Q47, "&lt;&gt;0", Q28:Q47, "&lt;&gt;")</f>
        <v>3</v>
      </c>
      <c r="R48" s="70">
        <f>SUM(R28:R47)</f>
        <v>9</v>
      </c>
    </row>
    <row r="49">
      <c r="B49" s="17" t="s">
        <v>53</v>
      </c>
      <c r="C49" s="70">
        <f>D49</f>
        <v>1</v>
      </c>
      <c r="D49" s="71">
        <f>IF(C48&gt;F48, 1, (IF(C48=F48, 0, -1)))</f>
        <v>1</v>
      </c>
      <c r="E49" s="33">
        <f>IF(F48&gt;C48, 1, (IF(F48=C48, 0, -1)))</f>
        <v>-1</v>
      </c>
      <c r="F49" s="70">
        <f>E49</f>
        <v>-1</v>
      </c>
      <c r="H49" s="17" t="s">
        <v>53</v>
      </c>
      <c r="I49" s="70">
        <f>J49</f>
        <v>1</v>
      </c>
      <c r="J49" s="71">
        <f>IF(I48&gt;L48, 1, (IF(I48=L48, 0, -1)))</f>
        <v>1</v>
      </c>
      <c r="K49" s="33">
        <f>IF(L48&gt;I48, 1, (IF(L48=I48, 0, -1)))</f>
        <v>-1</v>
      </c>
      <c r="L49" s="70">
        <f>K49</f>
        <v>-1</v>
      </c>
      <c r="N49" s="17" t="s">
        <v>53</v>
      </c>
      <c r="O49" s="70">
        <f>P49</f>
        <v>-1</v>
      </c>
      <c r="P49" s="71">
        <f>IF(O48&gt;R48, 1, (IF(O48=R48, 0, -1)))</f>
        <v>-1</v>
      </c>
      <c r="Q49" s="33">
        <f>IF(R48&gt;O48, 1, (IF(R48=O48, 0, -1)))</f>
        <v>1</v>
      </c>
      <c r="R49" s="70">
        <f>Q49</f>
        <v>1</v>
      </c>
    </row>
    <row r="50">
      <c r="D50" s="110" t="s">
        <v>90</v>
      </c>
      <c r="E50" s="26" t="str">
        <f>IF(D49=1,C27,IF(E49=1,E27,0))</f>
        <v>Jesse</v>
      </c>
      <c r="J50" s="110" t="s">
        <v>90</v>
      </c>
      <c r="K50" s="26" t="str">
        <f>IF(J49=1,I27,IF(K49=1,K27,0))</f>
        <v>Jesse</v>
      </c>
      <c r="P50" s="110" t="s">
        <v>91</v>
      </c>
      <c r="Q50" s="26" t="str">
        <f>IF(P49=1,O27,IF(Q49=1,Q27,0))</f>
        <v>Berend</v>
      </c>
    </row>
    <row r="51">
      <c r="J51" s="110" t="s">
        <v>92</v>
      </c>
      <c r="K51" s="26" t="str">
        <f>IF(J49=-1,I27,IF(K49=-1,K27,0))</f>
        <v>Tjeard</v>
      </c>
      <c r="P51" s="110" t="s">
        <v>93</v>
      </c>
      <c r="Q51" s="26" t="str">
        <f>IF(P49=-1,O27,IF(Q49=-1,Q27,0))</f>
        <v>Jesse</v>
      </c>
    </row>
    <row r="53">
      <c r="B53" s="109" t="str">
        <f t="shared" ref="B53:C53" si="51">A13</f>
        <v>Quarter Final 2</v>
      </c>
      <c r="C53" s="58" t="str">
        <f t="shared" si="51"/>
        <v>Tjeard</v>
      </c>
      <c r="D53" s="15"/>
      <c r="E53" s="59" t="str">
        <f>B14</f>
        <v>Rory</v>
      </c>
      <c r="F53" s="15"/>
      <c r="H53" s="109" t="str">
        <f>C18</f>
        <v>Semifinal 2</v>
      </c>
      <c r="I53" s="58" t="str">
        <f>D17</f>
        <v>Eminence Bruin</v>
      </c>
      <c r="J53" s="15"/>
      <c r="K53" s="59" t="str">
        <f>D18</f>
        <v>Berend</v>
      </c>
      <c r="L53" s="15"/>
      <c r="N53" s="109" t="str">
        <f t="shared" ref="N53:O53" si="52">E21</f>
        <v>Bronze</v>
      </c>
      <c r="O53" s="111" t="str">
        <f t="shared" si="52"/>
        <v>Tjeard</v>
      </c>
      <c r="P53" s="15"/>
      <c r="Q53" s="112" t="str">
        <f>F22</f>
        <v>Eminence Bruin</v>
      </c>
      <c r="R53" s="15"/>
    </row>
    <row r="54">
      <c r="B54" s="18" t="s">
        <v>36</v>
      </c>
      <c r="C54" s="13" t="str">
        <f t="shared" ref="C54:C73" si="53">IF(AND(D54&gt;0,E54&gt;0), 0, D54)</f>
        <v/>
      </c>
      <c r="D54" s="60"/>
      <c r="E54" s="113"/>
      <c r="F54" s="62" t="str">
        <f t="shared" ref="F54:F73" si="54">IF(AND(D54&gt;0,E54&gt;0), 0, E54)</f>
        <v/>
      </c>
      <c r="H54" s="18" t="s">
        <v>36</v>
      </c>
      <c r="I54" s="13" t="str">
        <f t="shared" ref="I54:I73" si="55">IF(AND(J54&gt;0,K54&gt;0), 0, J54)</f>
        <v/>
      </c>
      <c r="J54" s="74"/>
      <c r="K54" s="114"/>
      <c r="L54" s="62" t="str">
        <f t="shared" ref="L54:L73" si="56">IF(AND(J54&gt;0,K54&gt;0), 0, K54)</f>
        <v/>
      </c>
      <c r="N54" s="18" t="s">
        <v>36</v>
      </c>
      <c r="O54" s="13" t="str">
        <f t="shared" ref="O54:O73" si="57">IF(AND(P54&gt;0,Q54&gt;0), 0, P54)</f>
        <v/>
      </c>
      <c r="P54" s="115"/>
      <c r="Q54" s="113">
        <v>3.0</v>
      </c>
      <c r="R54" s="62">
        <f t="shared" ref="R54:R73" si="58">IF(AND(P54&gt;0,Q54&gt;0), 0, Q54)</f>
        <v>3</v>
      </c>
      <c r="U54" s="116"/>
      <c r="V54" s="117"/>
    </row>
    <row r="55">
      <c r="B55" s="18" t="s">
        <v>37</v>
      </c>
      <c r="C55" s="13" t="str">
        <f t="shared" si="53"/>
        <v/>
      </c>
      <c r="D55" s="60"/>
      <c r="E55" s="113">
        <v>2.0</v>
      </c>
      <c r="F55" s="62">
        <f t="shared" si="54"/>
        <v>2</v>
      </c>
      <c r="H55" s="18" t="s">
        <v>37</v>
      </c>
      <c r="I55" s="13" t="str">
        <f t="shared" si="55"/>
        <v/>
      </c>
      <c r="J55" s="74"/>
      <c r="K55" s="118">
        <v>3.0</v>
      </c>
      <c r="L55" s="62">
        <f t="shared" si="56"/>
        <v>3</v>
      </c>
      <c r="N55" s="18" t="s">
        <v>37</v>
      </c>
      <c r="O55" s="13">
        <f t="shared" si="57"/>
        <v>0</v>
      </c>
      <c r="P55" s="115">
        <v>2.0</v>
      </c>
      <c r="Q55" s="113">
        <v>2.0</v>
      </c>
      <c r="R55" s="62">
        <f t="shared" si="58"/>
        <v>0</v>
      </c>
      <c r="U55" s="116"/>
      <c r="V55" s="117"/>
    </row>
    <row r="56">
      <c r="B56" s="18" t="s">
        <v>38</v>
      </c>
      <c r="C56" s="13" t="str">
        <f t="shared" si="53"/>
        <v/>
      </c>
      <c r="D56" s="60"/>
      <c r="E56" s="113">
        <v>2.0</v>
      </c>
      <c r="F56" s="62">
        <f t="shared" si="54"/>
        <v>2</v>
      </c>
      <c r="H56" s="18" t="s">
        <v>38</v>
      </c>
      <c r="I56" s="13" t="str">
        <f t="shared" si="55"/>
        <v/>
      </c>
      <c r="J56" s="74"/>
      <c r="K56" s="114">
        <v>3.0</v>
      </c>
      <c r="L56" s="62">
        <f t="shared" si="56"/>
        <v>3</v>
      </c>
      <c r="N56" s="18" t="s">
        <v>38</v>
      </c>
      <c r="O56" s="13">
        <f t="shared" si="57"/>
        <v>2</v>
      </c>
      <c r="P56" s="115">
        <v>2.0</v>
      </c>
      <c r="Q56" s="113"/>
      <c r="R56" s="62" t="str">
        <f t="shared" si="58"/>
        <v/>
      </c>
      <c r="U56" s="116"/>
      <c r="V56" s="117"/>
    </row>
    <row r="57">
      <c r="B57" s="18" t="s">
        <v>39</v>
      </c>
      <c r="C57" s="13">
        <f t="shared" si="53"/>
        <v>2</v>
      </c>
      <c r="D57" s="115">
        <v>2.0</v>
      </c>
      <c r="E57" s="119"/>
      <c r="F57" s="62" t="str">
        <f t="shared" si="54"/>
        <v/>
      </c>
      <c r="H57" s="18" t="s">
        <v>39</v>
      </c>
      <c r="I57" s="13">
        <f t="shared" si="55"/>
        <v>2</v>
      </c>
      <c r="J57" s="75">
        <v>2.0</v>
      </c>
      <c r="K57" s="114"/>
      <c r="L57" s="62" t="str">
        <f t="shared" si="56"/>
        <v/>
      </c>
      <c r="N57" s="18" t="s">
        <v>39</v>
      </c>
      <c r="O57" s="13">
        <f t="shared" si="57"/>
        <v>0</v>
      </c>
      <c r="P57" s="115">
        <v>3.0</v>
      </c>
      <c r="Q57" s="113">
        <v>2.0</v>
      </c>
      <c r="R57" s="62">
        <f t="shared" si="58"/>
        <v>0</v>
      </c>
      <c r="U57" s="116"/>
      <c r="V57" s="117"/>
    </row>
    <row r="58">
      <c r="B58" s="18" t="s">
        <v>40</v>
      </c>
      <c r="C58" s="13">
        <f t="shared" si="53"/>
        <v>3</v>
      </c>
      <c r="D58" s="115">
        <v>3.0</v>
      </c>
      <c r="E58" s="119"/>
      <c r="F58" s="62" t="str">
        <f t="shared" si="54"/>
        <v/>
      </c>
      <c r="H58" s="18" t="s">
        <v>40</v>
      </c>
      <c r="I58" s="13" t="str">
        <f t="shared" si="55"/>
        <v/>
      </c>
      <c r="J58" s="80"/>
      <c r="K58" s="118"/>
      <c r="L58" s="62" t="str">
        <f t="shared" si="56"/>
        <v/>
      </c>
      <c r="N58" s="18" t="s">
        <v>40</v>
      </c>
      <c r="O58" s="13">
        <f t="shared" si="57"/>
        <v>0</v>
      </c>
      <c r="P58" s="115">
        <v>2.0</v>
      </c>
      <c r="Q58" s="113">
        <v>2.0</v>
      </c>
      <c r="R58" s="62">
        <f t="shared" si="58"/>
        <v>0</v>
      </c>
      <c r="U58" s="116"/>
      <c r="V58" s="117"/>
    </row>
    <row r="59">
      <c r="B59" s="18" t="s">
        <v>42</v>
      </c>
      <c r="C59" s="13" t="str">
        <f t="shared" si="53"/>
        <v/>
      </c>
      <c r="D59" s="120"/>
      <c r="E59" s="113">
        <v>2.0</v>
      </c>
      <c r="F59" s="62">
        <f t="shared" si="54"/>
        <v>2</v>
      </c>
      <c r="H59" s="18" t="s">
        <v>42</v>
      </c>
      <c r="I59" s="13">
        <f t="shared" si="55"/>
        <v>0</v>
      </c>
      <c r="J59" s="73">
        <v>2.0</v>
      </c>
      <c r="K59" s="114">
        <v>3.0</v>
      </c>
      <c r="L59" s="62">
        <f t="shared" si="56"/>
        <v>0</v>
      </c>
      <c r="N59" s="18" t="s">
        <v>42</v>
      </c>
      <c r="O59" s="13">
        <f t="shared" si="57"/>
        <v>0</v>
      </c>
      <c r="P59" s="115">
        <v>3.0</v>
      </c>
      <c r="Q59" s="113">
        <v>2.0</v>
      </c>
      <c r="R59" s="62">
        <f t="shared" si="58"/>
        <v>0</v>
      </c>
      <c r="U59" s="116"/>
      <c r="V59" s="117"/>
    </row>
    <row r="60">
      <c r="B60" s="18" t="s">
        <v>43</v>
      </c>
      <c r="C60" s="13">
        <f t="shared" si="53"/>
        <v>2</v>
      </c>
      <c r="D60" s="115">
        <v>2.0</v>
      </c>
      <c r="E60" s="119"/>
      <c r="F60" s="62" t="str">
        <f t="shared" si="54"/>
        <v/>
      </c>
      <c r="H60" s="18" t="s">
        <v>43</v>
      </c>
      <c r="I60" s="13" t="str">
        <f t="shared" si="55"/>
        <v/>
      </c>
      <c r="J60" s="74"/>
      <c r="K60" s="118">
        <v>2.0</v>
      </c>
      <c r="L60" s="62">
        <f t="shared" si="56"/>
        <v>2</v>
      </c>
      <c r="N60" s="18" t="s">
        <v>43</v>
      </c>
      <c r="O60" s="13" t="str">
        <f t="shared" si="57"/>
        <v/>
      </c>
      <c r="P60" s="120"/>
      <c r="Q60" s="119"/>
      <c r="R60" s="62" t="str">
        <f t="shared" si="58"/>
        <v/>
      </c>
      <c r="U60" s="72"/>
      <c r="V60" s="121"/>
    </row>
    <row r="61">
      <c r="B61" s="18" t="s">
        <v>44</v>
      </c>
      <c r="C61" s="13">
        <f t="shared" si="53"/>
        <v>0</v>
      </c>
      <c r="D61" s="115">
        <v>2.0</v>
      </c>
      <c r="E61" s="113">
        <v>2.0</v>
      </c>
      <c r="F61" s="62">
        <f t="shared" si="54"/>
        <v>0</v>
      </c>
      <c r="H61" s="18" t="s">
        <v>44</v>
      </c>
      <c r="I61" s="13" t="str">
        <f t="shared" si="55"/>
        <v/>
      </c>
      <c r="J61" s="80"/>
      <c r="K61" s="118"/>
      <c r="L61" s="62" t="str">
        <f t="shared" si="56"/>
        <v/>
      </c>
      <c r="N61" s="18" t="s">
        <v>44</v>
      </c>
      <c r="O61" s="13" t="str">
        <f t="shared" si="57"/>
        <v/>
      </c>
      <c r="P61" s="120"/>
      <c r="Q61" s="113">
        <v>2.0</v>
      </c>
      <c r="R61" s="62">
        <f t="shared" si="58"/>
        <v>2</v>
      </c>
      <c r="U61" s="116"/>
      <c r="V61" s="121"/>
    </row>
    <row r="62">
      <c r="B62" s="18" t="s">
        <v>45</v>
      </c>
      <c r="C62" s="13">
        <f t="shared" si="53"/>
        <v>0</v>
      </c>
      <c r="D62" s="115">
        <v>3.0</v>
      </c>
      <c r="E62" s="113">
        <v>2.0</v>
      </c>
      <c r="F62" s="62">
        <f t="shared" si="54"/>
        <v>0</v>
      </c>
      <c r="H62" s="18" t="s">
        <v>45</v>
      </c>
      <c r="I62" s="13">
        <f t="shared" si="55"/>
        <v>0</v>
      </c>
      <c r="J62" s="73">
        <v>2.0</v>
      </c>
      <c r="K62" s="114">
        <v>2.0</v>
      </c>
      <c r="L62" s="62">
        <f t="shared" si="56"/>
        <v>0</v>
      </c>
      <c r="N62" s="18" t="s">
        <v>45</v>
      </c>
      <c r="O62" s="13">
        <f t="shared" si="57"/>
        <v>2</v>
      </c>
      <c r="P62" s="115">
        <v>2.0</v>
      </c>
      <c r="Q62" s="119"/>
      <c r="R62" s="62" t="str">
        <f t="shared" si="58"/>
        <v/>
      </c>
      <c r="U62" s="72"/>
      <c r="V62" s="117"/>
    </row>
    <row r="63">
      <c r="B63" s="18" t="s">
        <v>46</v>
      </c>
      <c r="C63" s="13">
        <f t="shared" si="53"/>
        <v>0</v>
      </c>
      <c r="D63" s="115">
        <v>2.0</v>
      </c>
      <c r="E63" s="113">
        <v>2.0</v>
      </c>
      <c r="F63" s="62">
        <f t="shared" si="54"/>
        <v>0</v>
      </c>
      <c r="H63" s="18" t="s">
        <v>46</v>
      </c>
      <c r="I63" s="13" t="str">
        <f t="shared" si="55"/>
        <v/>
      </c>
      <c r="J63" s="74"/>
      <c r="K63" s="118">
        <v>3.0</v>
      </c>
      <c r="L63" s="62">
        <f t="shared" si="56"/>
        <v>3</v>
      </c>
      <c r="N63" s="18" t="s">
        <v>46</v>
      </c>
      <c r="O63" s="13">
        <f t="shared" si="57"/>
        <v>2</v>
      </c>
      <c r="P63" s="115">
        <v>2.0</v>
      </c>
      <c r="Q63" s="119"/>
      <c r="R63" s="62" t="str">
        <f t="shared" si="58"/>
        <v/>
      </c>
      <c r="U63" s="72"/>
      <c r="V63" s="117"/>
    </row>
    <row r="64">
      <c r="B64" s="18" t="s">
        <v>47</v>
      </c>
      <c r="C64" s="13" t="str">
        <f t="shared" si="53"/>
        <v/>
      </c>
      <c r="D64" s="120"/>
      <c r="E64" s="113">
        <v>2.0</v>
      </c>
      <c r="F64" s="62">
        <f t="shared" si="54"/>
        <v>2</v>
      </c>
      <c r="H64" s="18" t="s">
        <v>47</v>
      </c>
      <c r="I64" s="13">
        <f t="shared" si="55"/>
        <v>3</v>
      </c>
      <c r="J64" s="75">
        <v>3.0</v>
      </c>
      <c r="K64" s="114"/>
      <c r="L64" s="62" t="str">
        <f t="shared" si="56"/>
        <v/>
      </c>
      <c r="N64" s="18" t="s">
        <v>47</v>
      </c>
      <c r="O64" s="13">
        <f t="shared" si="57"/>
        <v>2</v>
      </c>
      <c r="P64" s="115">
        <v>2.0</v>
      </c>
      <c r="Q64" s="119"/>
      <c r="R64" s="62" t="str">
        <f t="shared" si="58"/>
        <v/>
      </c>
      <c r="U64" s="72"/>
      <c r="V64" s="117"/>
    </row>
    <row r="65">
      <c r="B65" s="18" t="s">
        <v>48</v>
      </c>
      <c r="C65" s="13">
        <f t="shared" si="53"/>
        <v>3</v>
      </c>
      <c r="D65" s="115">
        <v>3.0</v>
      </c>
      <c r="E65" s="119"/>
      <c r="F65" s="62" t="str">
        <f t="shared" si="54"/>
        <v/>
      </c>
      <c r="H65" s="18" t="s">
        <v>48</v>
      </c>
      <c r="I65" s="13" t="str">
        <f t="shared" si="55"/>
        <v/>
      </c>
      <c r="J65" s="80"/>
      <c r="K65" s="118"/>
      <c r="L65" s="62" t="str">
        <f t="shared" si="56"/>
        <v/>
      </c>
      <c r="N65" s="18" t="s">
        <v>48</v>
      </c>
      <c r="O65" s="13">
        <f t="shared" si="57"/>
        <v>2</v>
      </c>
      <c r="P65" s="115">
        <v>2.0</v>
      </c>
      <c r="Q65" s="119"/>
      <c r="R65" s="62" t="str">
        <f t="shared" si="58"/>
        <v/>
      </c>
      <c r="U65" s="72"/>
      <c r="V65" s="117"/>
    </row>
    <row r="66">
      <c r="B66" s="18" t="s">
        <v>49</v>
      </c>
      <c r="C66" s="13" t="str">
        <f t="shared" si="53"/>
        <v/>
      </c>
      <c r="D66" s="65"/>
      <c r="E66" s="64"/>
      <c r="F66" s="62" t="str">
        <f t="shared" si="54"/>
        <v/>
      </c>
      <c r="H66" s="18" t="s">
        <v>49</v>
      </c>
      <c r="I66" s="13" t="str">
        <f t="shared" si="55"/>
        <v/>
      </c>
      <c r="J66" s="80"/>
      <c r="K66" s="118"/>
      <c r="L66" s="62" t="str">
        <f t="shared" si="56"/>
        <v/>
      </c>
      <c r="N66" s="18" t="s">
        <v>49</v>
      </c>
      <c r="O66" s="13" t="str">
        <f t="shared" si="57"/>
        <v/>
      </c>
      <c r="P66" s="120"/>
      <c r="Q66" s="119"/>
      <c r="R66" s="62" t="str">
        <f t="shared" si="58"/>
        <v/>
      </c>
      <c r="U66" s="72"/>
      <c r="V66" s="121"/>
    </row>
    <row r="67">
      <c r="B67" s="18" t="s">
        <v>50</v>
      </c>
      <c r="C67" s="13" t="str">
        <f t="shared" si="53"/>
        <v/>
      </c>
      <c r="D67" s="65"/>
      <c r="E67" s="64"/>
      <c r="F67" s="62" t="str">
        <f t="shared" si="54"/>
        <v/>
      </c>
      <c r="H67" s="18" t="s">
        <v>50</v>
      </c>
      <c r="I67" s="13" t="str">
        <f t="shared" si="55"/>
        <v/>
      </c>
      <c r="J67" s="80"/>
      <c r="K67" s="118"/>
      <c r="L67" s="62" t="str">
        <f t="shared" si="56"/>
        <v/>
      </c>
      <c r="N67" s="18" t="s">
        <v>50</v>
      </c>
      <c r="O67" s="13" t="str">
        <f t="shared" si="57"/>
        <v/>
      </c>
      <c r="P67" s="120"/>
      <c r="Q67" s="113">
        <v>3.0</v>
      </c>
      <c r="R67" s="62">
        <f t="shared" si="58"/>
        <v>3</v>
      </c>
      <c r="U67" s="116"/>
      <c r="V67" s="121"/>
    </row>
    <row r="68">
      <c r="B68" s="18" t="s">
        <v>51</v>
      </c>
      <c r="C68" s="13" t="str">
        <f t="shared" si="53"/>
        <v/>
      </c>
      <c r="D68" s="65"/>
      <c r="E68" s="64"/>
      <c r="F68" s="62" t="str">
        <f t="shared" si="54"/>
        <v/>
      </c>
      <c r="H68" s="18" t="s">
        <v>51</v>
      </c>
      <c r="I68" s="13" t="str">
        <f t="shared" si="55"/>
        <v/>
      </c>
      <c r="J68" s="80"/>
      <c r="K68" s="118"/>
      <c r="L68" s="62" t="str">
        <f t="shared" si="56"/>
        <v/>
      </c>
      <c r="N68" s="18" t="s">
        <v>51</v>
      </c>
      <c r="O68" s="13" t="str">
        <f t="shared" si="57"/>
        <v/>
      </c>
      <c r="P68" s="65"/>
      <c r="Q68" s="64"/>
      <c r="R68" s="62" t="str">
        <f t="shared" si="58"/>
        <v/>
      </c>
    </row>
    <row r="69">
      <c r="B69" s="18" t="s">
        <v>85</v>
      </c>
      <c r="C69" s="13" t="str">
        <f t="shared" si="53"/>
        <v/>
      </c>
      <c r="D69" s="65"/>
      <c r="E69" s="64"/>
      <c r="F69" s="62" t="str">
        <f t="shared" si="54"/>
        <v/>
      </c>
      <c r="H69" s="18" t="s">
        <v>85</v>
      </c>
      <c r="I69" s="13" t="str">
        <f t="shared" si="55"/>
        <v/>
      </c>
      <c r="J69" s="80"/>
      <c r="K69" s="118"/>
      <c r="L69" s="62" t="str">
        <f t="shared" si="56"/>
        <v/>
      </c>
      <c r="N69" s="18" t="s">
        <v>85</v>
      </c>
      <c r="O69" s="13" t="str">
        <f t="shared" si="57"/>
        <v/>
      </c>
      <c r="P69" s="65"/>
      <c r="Q69" s="64"/>
      <c r="R69" s="62" t="str">
        <f t="shared" si="58"/>
        <v/>
      </c>
    </row>
    <row r="70">
      <c r="B70" s="18" t="s">
        <v>86</v>
      </c>
      <c r="C70" s="13" t="str">
        <f t="shared" si="53"/>
        <v/>
      </c>
      <c r="D70" s="65"/>
      <c r="E70" s="64"/>
      <c r="F70" s="62" t="str">
        <f t="shared" si="54"/>
        <v/>
      </c>
      <c r="H70" s="18" t="s">
        <v>86</v>
      </c>
      <c r="I70" s="13" t="str">
        <f t="shared" si="55"/>
        <v/>
      </c>
      <c r="J70" s="80"/>
      <c r="K70" s="118"/>
      <c r="L70" s="62" t="str">
        <f t="shared" si="56"/>
        <v/>
      </c>
      <c r="N70" s="18" t="s">
        <v>86</v>
      </c>
      <c r="O70" s="13" t="str">
        <f t="shared" si="57"/>
        <v/>
      </c>
      <c r="P70" s="65"/>
      <c r="Q70" s="64"/>
      <c r="R70" s="62" t="str">
        <f t="shared" si="58"/>
        <v/>
      </c>
    </row>
    <row r="71">
      <c r="B71" s="18" t="s">
        <v>87</v>
      </c>
      <c r="C71" s="13" t="str">
        <f t="shared" si="53"/>
        <v/>
      </c>
      <c r="D71" s="65"/>
      <c r="E71" s="64"/>
      <c r="F71" s="62" t="str">
        <f t="shared" si="54"/>
        <v/>
      </c>
      <c r="H71" s="18" t="s">
        <v>87</v>
      </c>
      <c r="I71" s="13" t="str">
        <f t="shared" si="55"/>
        <v/>
      </c>
      <c r="J71" s="80"/>
      <c r="K71" s="118"/>
      <c r="L71" s="62" t="str">
        <f t="shared" si="56"/>
        <v/>
      </c>
      <c r="N71" s="18" t="s">
        <v>87</v>
      </c>
      <c r="O71" s="13" t="str">
        <f t="shared" si="57"/>
        <v/>
      </c>
      <c r="P71" s="65"/>
      <c r="Q71" s="64"/>
      <c r="R71" s="62" t="str">
        <f t="shared" si="58"/>
        <v/>
      </c>
    </row>
    <row r="72">
      <c r="B72" s="18" t="s">
        <v>88</v>
      </c>
      <c r="C72" s="13" t="str">
        <f t="shared" si="53"/>
        <v/>
      </c>
      <c r="D72" s="65"/>
      <c r="E72" s="64"/>
      <c r="F72" s="62" t="str">
        <f t="shared" si="54"/>
        <v/>
      </c>
      <c r="H72" s="18" t="s">
        <v>88</v>
      </c>
      <c r="I72" s="13" t="str">
        <f t="shared" si="55"/>
        <v/>
      </c>
      <c r="J72" s="80"/>
      <c r="K72" s="118"/>
      <c r="L72" s="62" t="str">
        <f t="shared" si="56"/>
        <v/>
      </c>
      <c r="N72" s="18" t="s">
        <v>88</v>
      </c>
      <c r="O72" s="13" t="str">
        <f t="shared" si="57"/>
        <v/>
      </c>
      <c r="P72" s="65"/>
      <c r="Q72" s="64"/>
      <c r="R72" s="62" t="str">
        <f t="shared" si="58"/>
        <v/>
      </c>
    </row>
    <row r="73">
      <c r="B73" s="18" t="s">
        <v>89</v>
      </c>
      <c r="C73" s="13" t="str">
        <f t="shared" si="53"/>
        <v/>
      </c>
      <c r="D73" s="66"/>
      <c r="E73" s="69"/>
      <c r="F73" s="62" t="str">
        <f t="shared" si="54"/>
        <v/>
      </c>
      <c r="H73" s="18" t="s">
        <v>89</v>
      </c>
      <c r="I73" s="13" t="str">
        <f t="shared" si="55"/>
        <v/>
      </c>
      <c r="J73" s="80"/>
      <c r="K73" s="118"/>
      <c r="L73" s="62" t="str">
        <f t="shared" si="56"/>
        <v/>
      </c>
      <c r="N73" s="18" t="s">
        <v>89</v>
      </c>
      <c r="O73" s="13" t="str">
        <f t="shared" si="57"/>
        <v/>
      </c>
      <c r="P73" s="66"/>
      <c r="Q73" s="69"/>
      <c r="R73" s="62" t="str">
        <f t="shared" si="58"/>
        <v/>
      </c>
    </row>
    <row r="74">
      <c r="B74" s="18" t="s">
        <v>52</v>
      </c>
      <c r="C74" s="70">
        <f>SUM(C54:C73)</f>
        <v>10</v>
      </c>
      <c r="D74" s="33">
        <f>COUNTIFS(D54:D73, "&lt;&gt;0", D54:D73, "&lt;&gt;", E54:E73, "&lt;&gt;0", E54:E73, "&lt;&gt;")</f>
        <v>3</v>
      </c>
      <c r="E74" s="33">
        <f>COUNTIFS(D54:D73, "&lt;&gt;0", D54:D73, "&lt;&gt;", E54:E73, "&lt;&gt;0", E54:E73, "&lt;&gt;")</f>
        <v>3</v>
      </c>
      <c r="F74" s="70">
        <f>SUM(F54:F73)</f>
        <v>8</v>
      </c>
      <c r="H74" s="18" t="s">
        <v>52</v>
      </c>
      <c r="I74" s="70">
        <f>SUM(I54:I73)</f>
        <v>5</v>
      </c>
      <c r="J74" s="33">
        <f>COUNTIFS(J54:J73, "&lt;&gt;0", J54:J73, "&lt;&gt;", K54:K73, "&lt;&gt;0", K54:K73, "&lt;&gt;")</f>
        <v>2</v>
      </c>
      <c r="K74" s="33">
        <f>COUNTIFS(J54:J73, "&lt;&gt;0", J54:J73, "&lt;&gt;", K54:K73, "&lt;&gt;0", K54:K73, "&lt;&gt;")</f>
        <v>2</v>
      </c>
      <c r="L74" s="70">
        <f>SUM(L54:L73)</f>
        <v>11</v>
      </c>
      <c r="N74" s="18" t="s">
        <v>52</v>
      </c>
      <c r="O74" s="70">
        <f>SUM(O54:O73)</f>
        <v>10</v>
      </c>
      <c r="P74" s="33">
        <f>COUNTIFS(P54:P73, "&lt;&gt;0", P54:P73, "&lt;&gt;", Q54:Q73, "&lt;&gt;0", Q54:Q73, "&lt;&gt;")</f>
        <v>4</v>
      </c>
      <c r="Q74" s="33">
        <f>COUNTIFS(P54:P73, "&lt;&gt;0", P54:P73, "&lt;&gt;", Q54:Q73, "&lt;&gt;0", Q54:Q73, "&lt;&gt;")</f>
        <v>4</v>
      </c>
      <c r="R74" s="70">
        <f>SUM(R54:R73)</f>
        <v>8</v>
      </c>
    </row>
    <row r="75">
      <c r="B75" s="17" t="s">
        <v>53</v>
      </c>
      <c r="C75" s="70">
        <f>D75</f>
        <v>1</v>
      </c>
      <c r="D75" s="71">
        <f>IF(C74&gt;F74, 1, (IF(C74=F74, 0, -1)))</f>
        <v>1</v>
      </c>
      <c r="E75" s="33">
        <f>IF(F74&gt;C74, 1, (IF(F74=C74, 0, -1)))</f>
        <v>-1</v>
      </c>
      <c r="F75" s="70">
        <f>E75</f>
        <v>-1</v>
      </c>
      <c r="H75" s="17" t="s">
        <v>53</v>
      </c>
      <c r="I75" s="70">
        <f>J75</f>
        <v>-1</v>
      </c>
      <c r="J75" s="71">
        <f>IF(I74&gt;L74, 1, (IF(I74=L74, 0, -1)))</f>
        <v>-1</v>
      </c>
      <c r="K75" s="33">
        <f>IF(L74&gt;I74, 1, (IF(L74=I74, 0, -1)))</f>
        <v>1</v>
      </c>
      <c r="L75" s="70">
        <f>K75</f>
        <v>1</v>
      </c>
      <c r="N75" s="17" t="s">
        <v>53</v>
      </c>
      <c r="O75" s="70">
        <f>P75</f>
        <v>1</v>
      </c>
      <c r="P75" s="71">
        <f>IF(O74&gt;R74, 1, (IF(O74=R74, 0, -1)))</f>
        <v>1</v>
      </c>
      <c r="Q75" s="33">
        <f>IF(R74&gt;O74, 1, (IF(R74=O74, 0, -1)))</f>
        <v>-1</v>
      </c>
      <c r="R75" s="70">
        <f>Q75</f>
        <v>-1</v>
      </c>
    </row>
    <row r="76">
      <c r="D76" s="110" t="s">
        <v>90</v>
      </c>
      <c r="E76" s="26" t="str">
        <f>IF(D75=1,C53,IF(E75=1,E53,0))</f>
        <v>Tjeard</v>
      </c>
      <c r="J76" s="110" t="s">
        <v>90</v>
      </c>
      <c r="K76" s="26" t="str">
        <f>IF(J75=1,I53,IF(K75=1,K53,0))</f>
        <v>Berend</v>
      </c>
      <c r="P76" s="110" t="s">
        <v>94</v>
      </c>
      <c r="Q76" s="26" t="str">
        <f>IF(P75=1,O53,IF(Q75=1,Q53,0))</f>
        <v>Tjeard</v>
      </c>
    </row>
    <row r="77">
      <c r="J77" s="110" t="s">
        <v>92</v>
      </c>
      <c r="K77" s="26" t="str">
        <f>IF(J75=-1,I53,IF(K75=-1,K53,0))</f>
        <v>Eminence Bruin</v>
      </c>
      <c r="P77" s="110" t="s">
        <v>95</v>
      </c>
      <c r="Q77" s="26" t="str">
        <f>IF(P75=-1,O53,IF(Q75=-1,Q53,0))</f>
        <v>Eminence Bruin</v>
      </c>
    </row>
    <row r="79">
      <c r="B79" s="109" t="str">
        <f t="shared" ref="B79:C79" si="59">A16</f>
        <v>Quarter Final 3</v>
      </c>
      <c r="C79" s="58" t="str">
        <f t="shared" si="59"/>
        <v>Tim the Burgundy Enchanter</v>
      </c>
      <c r="D79" s="15"/>
      <c r="E79" s="59" t="str">
        <f>B17</f>
        <v>Eminence Bruin</v>
      </c>
      <c r="F79" s="15"/>
    </row>
    <row r="80">
      <c r="B80" s="18" t="s">
        <v>36</v>
      </c>
      <c r="C80" s="13" t="str">
        <f t="shared" ref="C80:C99" si="60">IF(AND(D80&gt;0,E80&gt;0), 0, D80)</f>
        <v/>
      </c>
      <c r="D80" s="74"/>
      <c r="E80" s="114">
        <v>2.0</v>
      </c>
      <c r="F80" s="62">
        <f t="shared" ref="F80:F99" si="61">IF(AND(D80&gt;0,E80&gt;0), 0, E80)</f>
        <v>2</v>
      </c>
    </row>
    <row r="81">
      <c r="B81" s="18" t="s">
        <v>37</v>
      </c>
      <c r="C81" s="13" t="str">
        <f t="shared" si="60"/>
        <v/>
      </c>
      <c r="D81" s="80"/>
      <c r="E81" s="114">
        <v>3.0</v>
      </c>
      <c r="F81" s="62">
        <f t="shared" si="61"/>
        <v>3</v>
      </c>
    </row>
    <row r="82">
      <c r="B82" s="18" t="s">
        <v>38</v>
      </c>
      <c r="C82" s="13" t="str">
        <f t="shared" si="60"/>
        <v/>
      </c>
      <c r="D82" s="74"/>
      <c r="E82" s="114">
        <v>2.0</v>
      </c>
      <c r="F82" s="62">
        <f t="shared" si="61"/>
        <v>2</v>
      </c>
    </row>
    <row r="83">
      <c r="B83" s="18" t="s">
        <v>39</v>
      </c>
      <c r="C83" s="13">
        <f t="shared" si="60"/>
        <v>2</v>
      </c>
      <c r="D83" s="73">
        <v>2.0</v>
      </c>
      <c r="E83" s="118"/>
      <c r="F83" s="62" t="str">
        <f t="shared" si="61"/>
        <v/>
      </c>
    </row>
    <row r="84">
      <c r="B84" s="18" t="s">
        <v>40</v>
      </c>
      <c r="C84" s="13" t="str">
        <f t="shared" si="60"/>
        <v/>
      </c>
      <c r="D84" s="80"/>
      <c r="E84" s="118"/>
      <c r="F84" s="62" t="str">
        <f t="shared" si="61"/>
        <v/>
      </c>
    </row>
    <row r="85">
      <c r="B85" s="18" t="s">
        <v>42</v>
      </c>
      <c r="C85" s="13">
        <f t="shared" si="60"/>
        <v>0</v>
      </c>
      <c r="D85" s="73">
        <v>3.0</v>
      </c>
      <c r="E85" s="114">
        <v>2.0</v>
      </c>
      <c r="F85" s="62">
        <f t="shared" si="61"/>
        <v>0</v>
      </c>
    </row>
    <row r="86">
      <c r="B86" s="18" t="s">
        <v>43</v>
      </c>
      <c r="C86" s="13" t="str">
        <f t="shared" si="60"/>
        <v/>
      </c>
      <c r="D86" s="80"/>
      <c r="E86" s="118"/>
      <c r="F86" s="62" t="str">
        <f t="shared" si="61"/>
        <v/>
      </c>
    </row>
    <row r="87">
      <c r="B87" s="18" t="s">
        <v>44</v>
      </c>
      <c r="C87" s="13" t="str">
        <f t="shared" si="60"/>
        <v/>
      </c>
      <c r="D87" s="80"/>
      <c r="E87" s="114">
        <v>3.0</v>
      </c>
      <c r="F87" s="62">
        <f t="shared" si="61"/>
        <v>3</v>
      </c>
    </row>
    <row r="88">
      <c r="B88" s="18" t="s">
        <v>45</v>
      </c>
      <c r="C88" s="13">
        <f t="shared" si="60"/>
        <v>0</v>
      </c>
      <c r="D88" s="73">
        <v>3.0</v>
      </c>
      <c r="E88" s="114">
        <v>2.0</v>
      </c>
      <c r="F88" s="62">
        <f t="shared" si="61"/>
        <v>0</v>
      </c>
    </row>
    <row r="89">
      <c r="B89" s="18" t="s">
        <v>46</v>
      </c>
      <c r="C89" s="13">
        <f t="shared" si="60"/>
        <v>3</v>
      </c>
      <c r="D89" s="73">
        <v>3.0</v>
      </c>
      <c r="E89" s="118"/>
      <c r="F89" s="62" t="str">
        <f t="shared" si="61"/>
        <v/>
      </c>
    </row>
    <row r="90">
      <c r="B90" s="18" t="s">
        <v>47</v>
      </c>
      <c r="C90" s="13" t="str">
        <f t="shared" si="60"/>
        <v/>
      </c>
      <c r="D90" s="80"/>
      <c r="E90" s="114">
        <v>3.0</v>
      </c>
      <c r="F90" s="62">
        <f t="shared" si="61"/>
        <v>3</v>
      </c>
    </row>
    <row r="91">
      <c r="B91" s="18" t="s">
        <v>48</v>
      </c>
      <c r="C91" s="13">
        <f t="shared" si="60"/>
        <v>2</v>
      </c>
      <c r="D91" s="73">
        <v>2.0</v>
      </c>
      <c r="E91" s="118"/>
      <c r="F91" s="62" t="str">
        <f t="shared" si="61"/>
        <v/>
      </c>
    </row>
    <row r="92">
      <c r="B92" s="18" t="s">
        <v>49</v>
      </c>
      <c r="C92" s="13" t="str">
        <f t="shared" si="60"/>
        <v/>
      </c>
      <c r="D92" s="80"/>
      <c r="E92" s="118"/>
      <c r="F92" s="62" t="str">
        <f t="shared" si="61"/>
        <v/>
      </c>
    </row>
    <row r="93">
      <c r="B93" s="18" t="s">
        <v>50</v>
      </c>
      <c r="C93" s="13" t="str">
        <f t="shared" si="60"/>
        <v/>
      </c>
      <c r="D93" s="80"/>
      <c r="E93" s="118"/>
      <c r="F93" s="62" t="str">
        <f t="shared" si="61"/>
        <v/>
      </c>
    </row>
    <row r="94">
      <c r="B94" s="18" t="s">
        <v>51</v>
      </c>
      <c r="C94" s="13" t="str">
        <f t="shared" si="60"/>
        <v/>
      </c>
      <c r="D94" s="80"/>
      <c r="E94" s="118"/>
      <c r="F94" s="62" t="str">
        <f t="shared" si="61"/>
        <v/>
      </c>
    </row>
    <row r="95">
      <c r="B95" s="18" t="s">
        <v>85</v>
      </c>
      <c r="C95" s="13" t="str">
        <f t="shared" si="60"/>
        <v/>
      </c>
      <c r="D95" s="80"/>
      <c r="E95" s="118"/>
      <c r="F95" s="62" t="str">
        <f t="shared" si="61"/>
        <v/>
      </c>
    </row>
    <row r="96">
      <c r="B96" s="18" t="s">
        <v>86</v>
      </c>
      <c r="C96" s="13" t="str">
        <f t="shared" si="60"/>
        <v/>
      </c>
      <c r="D96" s="80"/>
      <c r="E96" s="118"/>
      <c r="F96" s="62" t="str">
        <f t="shared" si="61"/>
        <v/>
      </c>
    </row>
    <row r="97">
      <c r="B97" s="18" t="s">
        <v>87</v>
      </c>
      <c r="C97" s="13" t="str">
        <f t="shared" si="60"/>
        <v/>
      </c>
      <c r="D97" s="80"/>
      <c r="E97" s="118"/>
      <c r="F97" s="62" t="str">
        <f t="shared" si="61"/>
        <v/>
      </c>
    </row>
    <row r="98">
      <c r="B98" s="18" t="s">
        <v>88</v>
      </c>
      <c r="C98" s="13" t="str">
        <f t="shared" si="60"/>
        <v/>
      </c>
      <c r="D98" s="80"/>
      <c r="E98" s="118"/>
      <c r="F98" s="62" t="str">
        <f t="shared" si="61"/>
        <v/>
      </c>
    </row>
    <row r="99">
      <c r="B99" s="18" t="s">
        <v>89</v>
      </c>
      <c r="C99" s="13" t="str">
        <f t="shared" si="60"/>
        <v/>
      </c>
      <c r="D99" s="80"/>
      <c r="E99" s="118"/>
      <c r="F99" s="62" t="str">
        <f t="shared" si="61"/>
        <v/>
      </c>
    </row>
    <row r="100">
      <c r="B100" s="18" t="s">
        <v>52</v>
      </c>
      <c r="C100" s="70">
        <f>SUM(C80:C99)</f>
        <v>7</v>
      </c>
      <c r="D100" s="33">
        <f>COUNTIFS(D80:D99, "&lt;&gt;0", D80:D99, "&lt;&gt;", E80:E99, "&lt;&gt;0", E80:E99, "&lt;&gt;")</f>
        <v>2</v>
      </c>
      <c r="E100" s="33">
        <f>COUNTIFS(D80:D99, "&lt;&gt;0", D80:D99, "&lt;&gt;", E80:E99, "&lt;&gt;0", E80:E99, "&lt;&gt;")</f>
        <v>2</v>
      </c>
      <c r="F100" s="70">
        <f>SUM(F80:F99)</f>
        <v>13</v>
      </c>
    </row>
    <row r="101">
      <c r="B101" s="17" t="s">
        <v>53</v>
      </c>
      <c r="C101" s="70">
        <f>D101</f>
        <v>-1</v>
      </c>
      <c r="D101" s="71">
        <f>IF(C100&gt;F100, 1, (IF(C100=F100, 0, -1)))</f>
        <v>-1</v>
      </c>
      <c r="E101" s="33">
        <f>IF(F100&gt;C100, 1, (IF(F100=C100, 0, -1)))</f>
        <v>1</v>
      </c>
      <c r="F101" s="70">
        <f>E101</f>
        <v>1</v>
      </c>
    </row>
    <row r="102">
      <c r="D102" s="110" t="s">
        <v>90</v>
      </c>
      <c r="E102" s="26" t="str">
        <f>IF(D101=1,C79,IF(E101=1,E79,0))</f>
        <v>Eminence Bruin</v>
      </c>
    </row>
    <row r="105">
      <c r="B105" s="109" t="str">
        <f t="shared" ref="B105:C105" si="62">A19</f>
        <v>Quarter Final 4</v>
      </c>
      <c r="C105" s="58" t="str">
        <f t="shared" si="62"/>
        <v>Teun</v>
      </c>
      <c r="D105" s="15"/>
      <c r="E105" s="59" t="str">
        <f>B20</f>
        <v>Berend</v>
      </c>
      <c r="F105" s="15"/>
    </row>
    <row r="106">
      <c r="B106" s="18" t="s">
        <v>36</v>
      </c>
      <c r="C106" s="13" t="str">
        <f t="shared" ref="C106:C125" si="63">IF(AND(D106&gt;0,E106&gt;0), 0, D106)</f>
        <v/>
      </c>
      <c r="D106" s="60"/>
      <c r="E106" s="61">
        <v>3.0</v>
      </c>
      <c r="F106" s="62">
        <f t="shared" ref="F106:F125" si="64">IF(AND(D106&gt;0,E106&gt;0), 0, E106)</f>
        <v>3</v>
      </c>
    </row>
    <row r="107">
      <c r="B107" s="18" t="s">
        <v>37</v>
      </c>
      <c r="C107" s="13">
        <f t="shared" si="63"/>
        <v>2</v>
      </c>
      <c r="D107" s="60">
        <v>2.0</v>
      </c>
      <c r="E107" s="61"/>
      <c r="F107" s="62" t="str">
        <f t="shared" si="64"/>
        <v/>
      </c>
    </row>
    <row r="108">
      <c r="B108" s="18" t="s">
        <v>38</v>
      </c>
      <c r="C108" s="13" t="str">
        <f t="shared" si="63"/>
        <v/>
      </c>
      <c r="D108" s="60"/>
      <c r="E108" s="61">
        <v>2.0</v>
      </c>
      <c r="F108" s="62">
        <f t="shared" si="64"/>
        <v>2</v>
      </c>
    </row>
    <row r="109">
      <c r="B109" s="18" t="s">
        <v>39</v>
      </c>
      <c r="C109" s="13">
        <f t="shared" si="63"/>
        <v>0</v>
      </c>
      <c r="D109" s="60">
        <v>3.0</v>
      </c>
      <c r="E109" s="61">
        <v>3.0</v>
      </c>
      <c r="F109" s="62">
        <f t="shared" si="64"/>
        <v>0</v>
      </c>
    </row>
    <row r="110">
      <c r="B110" s="18" t="s">
        <v>40</v>
      </c>
      <c r="C110" s="13" t="str">
        <f t="shared" si="63"/>
        <v/>
      </c>
      <c r="D110" s="65"/>
      <c r="E110" s="61">
        <v>2.0</v>
      </c>
      <c r="F110" s="62">
        <f t="shared" si="64"/>
        <v>2</v>
      </c>
    </row>
    <row r="111">
      <c r="B111" s="18" t="s">
        <v>42</v>
      </c>
      <c r="C111" s="13" t="str">
        <f t="shared" si="63"/>
        <v/>
      </c>
      <c r="D111" s="65"/>
      <c r="E111" s="61">
        <v>2.0</v>
      </c>
      <c r="F111" s="62">
        <f t="shared" si="64"/>
        <v>2</v>
      </c>
    </row>
    <row r="112">
      <c r="B112" s="18" t="s">
        <v>43</v>
      </c>
      <c r="C112" s="13">
        <f t="shared" si="63"/>
        <v>2</v>
      </c>
      <c r="D112" s="60">
        <v>2.0</v>
      </c>
      <c r="E112" s="64"/>
      <c r="F112" s="62" t="str">
        <f t="shared" si="64"/>
        <v/>
      </c>
    </row>
    <row r="113">
      <c r="B113" s="18" t="s">
        <v>44</v>
      </c>
      <c r="C113" s="13" t="str">
        <f t="shared" si="63"/>
        <v/>
      </c>
      <c r="D113" s="65"/>
      <c r="E113" s="61">
        <v>2.0</v>
      </c>
      <c r="F113" s="62">
        <f t="shared" si="64"/>
        <v>2</v>
      </c>
    </row>
    <row r="114">
      <c r="B114" s="18" t="s">
        <v>45</v>
      </c>
      <c r="C114" s="13" t="str">
        <f t="shared" si="63"/>
        <v/>
      </c>
      <c r="D114" s="65"/>
      <c r="E114" s="61">
        <v>2.0</v>
      </c>
      <c r="F114" s="62">
        <f t="shared" si="64"/>
        <v>2</v>
      </c>
    </row>
    <row r="115">
      <c r="B115" s="18" t="s">
        <v>46</v>
      </c>
      <c r="C115" s="13" t="str">
        <f t="shared" si="63"/>
        <v/>
      </c>
      <c r="D115" s="65"/>
      <c r="E115" s="61">
        <v>3.0</v>
      </c>
      <c r="F115" s="62">
        <f t="shared" si="64"/>
        <v>3</v>
      </c>
    </row>
    <row r="116">
      <c r="B116" s="18" t="s">
        <v>47</v>
      </c>
      <c r="C116" s="13">
        <f t="shared" si="63"/>
        <v>2</v>
      </c>
      <c r="D116" s="60">
        <v>2.0</v>
      </c>
      <c r="E116" s="64"/>
      <c r="F116" s="62" t="str">
        <f t="shared" si="64"/>
        <v/>
      </c>
    </row>
    <row r="117">
      <c r="B117" s="18" t="s">
        <v>48</v>
      </c>
      <c r="C117" s="13">
        <f t="shared" si="63"/>
        <v>0</v>
      </c>
      <c r="D117" s="60">
        <v>2.0</v>
      </c>
      <c r="E117" s="61">
        <v>3.0</v>
      </c>
      <c r="F117" s="62">
        <f t="shared" si="64"/>
        <v>0</v>
      </c>
    </row>
    <row r="118">
      <c r="B118" s="18" t="s">
        <v>49</v>
      </c>
      <c r="C118" s="13">
        <f t="shared" si="63"/>
        <v>3</v>
      </c>
      <c r="D118" s="60">
        <v>3.0</v>
      </c>
      <c r="E118" s="64"/>
      <c r="F118" s="62" t="str">
        <f t="shared" si="64"/>
        <v/>
      </c>
    </row>
    <row r="119">
      <c r="B119" s="18" t="s">
        <v>50</v>
      </c>
      <c r="C119" s="13" t="str">
        <f t="shared" si="63"/>
        <v/>
      </c>
      <c r="D119" s="65"/>
      <c r="E119" s="64"/>
      <c r="F119" s="62" t="str">
        <f t="shared" si="64"/>
        <v/>
      </c>
    </row>
    <row r="120">
      <c r="B120" s="18" t="s">
        <v>51</v>
      </c>
      <c r="C120" s="13" t="str">
        <f t="shared" si="63"/>
        <v/>
      </c>
      <c r="D120" s="66"/>
      <c r="E120" s="69"/>
      <c r="F120" s="62" t="str">
        <f t="shared" si="64"/>
        <v/>
      </c>
    </row>
    <row r="121">
      <c r="B121" s="18" t="s">
        <v>85</v>
      </c>
      <c r="C121" s="13" t="str">
        <f t="shared" si="63"/>
        <v/>
      </c>
      <c r="D121" s="66"/>
      <c r="E121" s="69"/>
      <c r="F121" s="62" t="str">
        <f t="shared" si="64"/>
        <v/>
      </c>
    </row>
    <row r="122">
      <c r="B122" s="18" t="s">
        <v>86</v>
      </c>
      <c r="C122" s="13" t="str">
        <f t="shared" si="63"/>
        <v/>
      </c>
      <c r="D122" s="66"/>
      <c r="E122" s="69"/>
      <c r="F122" s="62" t="str">
        <f t="shared" si="64"/>
        <v/>
      </c>
    </row>
    <row r="123">
      <c r="B123" s="18" t="s">
        <v>87</v>
      </c>
      <c r="C123" s="13" t="str">
        <f t="shared" si="63"/>
        <v/>
      </c>
      <c r="D123" s="66"/>
      <c r="E123" s="69"/>
      <c r="F123" s="62" t="str">
        <f t="shared" si="64"/>
        <v/>
      </c>
    </row>
    <row r="124">
      <c r="B124" s="18" t="s">
        <v>88</v>
      </c>
      <c r="C124" s="13" t="str">
        <f t="shared" si="63"/>
        <v/>
      </c>
      <c r="D124" s="66"/>
      <c r="E124" s="69"/>
      <c r="F124" s="62" t="str">
        <f t="shared" si="64"/>
        <v/>
      </c>
    </row>
    <row r="125">
      <c r="B125" s="18" t="s">
        <v>89</v>
      </c>
      <c r="C125" s="13" t="str">
        <f t="shared" si="63"/>
        <v/>
      </c>
      <c r="D125" s="66"/>
      <c r="E125" s="69"/>
      <c r="F125" s="62" t="str">
        <f t="shared" si="64"/>
        <v/>
      </c>
    </row>
    <row r="126">
      <c r="B126" s="18" t="s">
        <v>52</v>
      </c>
      <c r="C126" s="70">
        <f>SUM(C106:C125)</f>
        <v>9</v>
      </c>
      <c r="D126" s="33">
        <f>COUNTIFS(D106:D125, "&lt;&gt;0", D106:D125, "&lt;&gt;", E106:E125, "&lt;&gt;0", E106:E125, "&lt;&gt;")</f>
        <v>2</v>
      </c>
      <c r="E126" s="33">
        <f>COUNTIFS(D106:D125, "&lt;&gt;0", D106:D125, "&lt;&gt;", E106:E125, "&lt;&gt;0", E106:E125, "&lt;&gt;")</f>
        <v>2</v>
      </c>
      <c r="F126" s="70">
        <f>SUM(F106:F125)</f>
        <v>16</v>
      </c>
    </row>
    <row r="127">
      <c r="B127" s="17" t="s">
        <v>53</v>
      </c>
      <c r="C127" s="70">
        <f>D127</f>
        <v>-1</v>
      </c>
      <c r="D127" s="71">
        <f>IF(C126&gt;F126, 1, (IF(C126=F126, 0, -1)))</f>
        <v>-1</v>
      </c>
      <c r="E127" s="33">
        <f>IF(F126&gt;C126, 1, (IF(F126=C126, 0, -1)))</f>
        <v>1</v>
      </c>
      <c r="F127" s="70">
        <f>E127</f>
        <v>1</v>
      </c>
    </row>
    <row r="128">
      <c r="D128" s="110" t="s">
        <v>90</v>
      </c>
      <c r="E128" s="26" t="str">
        <f>IF(D127=1,C105,IF(E127=1,E105,0))</f>
        <v>Berend</v>
      </c>
    </row>
  </sheetData>
  <mergeCells count="22">
    <mergeCell ref="E27:F27"/>
    <mergeCell ref="I27:J27"/>
    <mergeCell ref="O27:P27"/>
    <mergeCell ref="Q27:R27"/>
    <mergeCell ref="K2:L2"/>
    <mergeCell ref="N2:O2"/>
    <mergeCell ref="K8:L8"/>
    <mergeCell ref="N8:O8"/>
    <mergeCell ref="K14:L14"/>
    <mergeCell ref="N14:O14"/>
    <mergeCell ref="K27:L27"/>
    <mergeCell ref="C79:D79"/>
    <mergeCell ref="E79:F79"/>
    <mergeCell ref="C105:D105"/>
    <mergeCell ref="E105:F105"/>
    <mergeCell ref="C27:D27"/>
    <mergeCell ref="C53:D53"/>
    <mergeCell ref="E53:F53"/>
    <mergeCell ref="I53:J53"/>
    <mergeCell ref="K53:L53"/>
    <mergeCell ref="O53:P53"/>
    <mergeCell ref="Q53:R5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10" max="10" width="12.63"/>
    <col customWidth="1" min="11" max="11" width="7.0"/>
    <col customWidth="1" min="12" max="16" width="7.63"/>
    <col customWidth="1" min="17" max="17" width="8.5"/>
    <col customWidth="1" min="18" max="21" width="7.63"/>
  </cols>
  <sheetData>
    <row r="2">
      <c r="B2" s="122" t="s">
        <v>66</v>
      </c>
      <c r="C2" s="15"/>
      <c r="D2" s="122" t="s">
        <v>67</v>
      </c>
      <c r="E2" s="15"/>
      <c r="F2" s="122" t="s">
        <v>68</v>
      </c>
      <c r="G2" s="15"/>
      <c r="I2" s="123" t="str">
        <f t="array" ref="I2:J17">Eliminations!N2:O17</f>
        <v>Bronze Sorted</v>
      </c>
      <c r="J2" s="124"/>
      <c r="M2" s="56" t="s">
        <v>66</v>
      </c>
      <c r="R2" s="56" t="s">
        <v>68</v>
      </c>
    </row>
    <row r="3">
      <c r="B3" s="125" t="s">
        <v>96</v>
      </c>
      <c r="C3" s="125" t="s">
        <v>97</v>
      </c>
      <c r="D3" s="125" t="s">
        <v>96</v>
      </c>
      <c r="E3" s="125" t="s">
        <v>97</v>
      </c>
      <c r="F3" s="125" t="s">
        <v>96</v>
      </c>
      <c r="G3" s="125" t="s">
        <v>97</v>
      </c>
      <c r="I3" s="124" t="s">
        <v>15</v>
      </c>
      <c r="J3" s="126">
        <v>0.942</v>
      </c>
      <c r="L3" s="127" t="str">
        <f t="array" ref="L3:O17">Pool_1!L3:O17</f>
        <v>Match 1</v>
      </c>
      <c r="M3" s="128" t="s">
        <v>18</v>
      </c>
      <c r="N3" s="129" t="s">
        <v>19</v>
      </c>
      <c r="O3" s="8" t="s">
        <v>98</v>
      </c>
      <c r="Q3" s="127" t="str">
        <f t="array" ref="Q3:T17">Pool_3!L3:O17</f>
        <v>Match 1</v>
      </c>
      <c r="R3" s="128" t="s">
        <v>62</v>
      </c>
      <c r="S3" s="130" t="s">
        <v>60</v>
      </c>
      <c r="T3" s="8" t="s">
        <v>98</v>
      </c>
    </row>
    <row r="4">
      <c r="B4" s="131">
        <f>Pool_1!AG4</f>
        <v>1.953</v>
      </c>
      <c r="C4" s="132" t="str">
        <f>Pool_1!AH4</f>
        <v>Tim the Burgundy Enchanter</v>
      </c>
      <c r="D4" s="131">
        <f>Pool_2!AG4</f>
        <v>4.927</v>
      </c>
      <c r="E4" s="132" t="str">
        <f>Pool_2!AH4</f>
        <v>Jesse</v>
      </c>
      <c r="F4" s="131">
        <f>Pool_3!AG4</f>
        <v>2.854</v>
      </c>
      <c r="G4" s="132" t="str">
        <f>Pool_3!AH4</f>
        <v>Berend</v>
      </c>
      <c r="H4" s="133" t="s">
        <v>99</v>
      </c>
      <c r="I4" s="124" t="s">
        <v>56</v>
      </c>
      <c r="J4" s="126">
        <v>0.868</v>
      </c>
      <c r="L4" s="127" t="s">
        <v>8</v>
      </c>
      <c r="M4" s="128" t="s">
        <v>12</v>
      </c>
      <c r="N4" s="129" t="s">
        <v>22</v>
      </c>
      <c r="O4" s="8" t="s">
        <v>98</v>
      </c>
      <c r="Q4" s="127" t="s">
        <v>8</v>
      </c>
      <c r="R4" s="128" t="s">
        <v>63</v>
      </c>
      <c r="S4" s="130" t="s">
        <v>64</v>
      </c>
      <c r="T4" s="8" t="s">
        <v>98</v>
      </c>
    </row>
    <row r="5">
      <c r="B5" s="131">
        <f>Pool_1!AG5</f>
        <v>1.887</v>
      </c>
      <c r="C5" s="132" t="str">
        <f>Pool_1!AH5</f>
        <v>Eminence Bruin</v>
      </c>
      <c r="D5" s="131">
        <f>Pool_2!AG5</f>
        <v>1.893</v>
      </c>
      <c r="E5" s="132" t="str">
        <f>Pool_2!AH5</f>
        <v>Rory</v>
      </c>
      <c r="F5" s="131">
        <f>Pool_3!AG5</f>
        <v>2.829</v>
      </c>
      <c r="G5" s="132" t="str">
        <f>Pool_3!AH5</f>
        <v>Tjeard</v>
      </c>
      <c r="H5" s="134" t="s">
        <v>100</v>
      </c>
      <c r="I5" s="135" t="s">
        <v>62</v>
      </c>
      <c r="J5" s="136">
        <v>-1.068</v>
      </c>
      <c r="L5" s="127" t="s">
        <v>11</v>
      </c>
      <c r="M5" s="128" t="s">
        <v>9</v>
      </c>
      <c r="N5" s="129" t="s">
        <v>15</v>
      </c>
      <c r="O5" s="8" t="s">
        <v>98</v>
      </c>
      <c r="Q5" s="127" t="s">
        <v>11</v>
      </c>
      <c r="R5" s="128" t="s">
        <v>61</v>
      </c>
      <c r="S5" s="130" t="s">
        <v>65</v>
      </c>
      <c r="T5" s="8" t="s">
        <v>98</v>
      </c>
    </row>
    <row r="6">
      <c r="B6" s="131">
        <f>Pool_1!AG6</f>
        <v>0.942</v>
      </c>
      <c r="C6" s="26" t="str">
        <f>Pool_1!AH6</f>
        <v>Teun</v>
      </c>
      <c r="D6" s="131">
        <f>Pool_2!AG6</f>
        <v>0.868</v>
      </c>
      <c r="E6" s="26" t="str">
        <f>Pool_2!AH6</f>
        <v>Arjan</v>
      </c>
      <c r="F6" s="131">
        <f>Pool_3!AG6</f>
        <v>-1.068</v>
      </c>
      <c r="G6" s="26" t="str">
        <f>Pool_3!AH6</f>
        <v>Mittens</v>
      </c>
      <c r="H6" s="137" t="s">
        <v>84</v>
      </c>
      <c r="I6" s="104"/>
      <c r="J6" s="138"/>
      <c r="L6" s="127" t="s">
        <v>14</v>
      </c>
      <c r="M6" s="128" t="s">
        <v>18</v>
      </c>
      <c r="N6" s="129" t="s">
        <v>22</v>
      </c>
      <c r="O6" s="8" t="s">
        <v>98</v>
      </c>
      <c r="Q6" s="127" t="s">
        <v>14</v>
      </c>
      <c r="R6" s="128" t="s">
        <v>62</v>
      </c>
      <c r="S6" s="130" t="s">
        <v>64</v>
      </c>
      <c r="T6" s="8" t="s">
        <v>98</v>
      </c>
    </row>
    <row r="7">
      <c r="B7" s="131">
        <f>Pool_1!AG7</f>
        <v>0.901</v>
      </c>
      <c r="C7" s="139" t="str">
        <f>Pool_1!AH7</f>
        <v>Ronald</v>
      </c>
      <c r="D7" s="131">
        <f>Pool_2!AG7</f>
        <v>-1.087</v>
      </c>
      <c r="E7" s="139" t="str">
        <f>Pool_2!AH7</f>
        <v>Maarten</v>
      </c>
      <c r="F7" s="131">
        <f>Pool_3!AG7</f>
        <v>-1.152</v>
      </c>
      <c r="G7" s="139" t="str">
        <f>Pool_3!AH7</f>
        <v>Judith</v>
      </c>
      <c r="I7" s="104"/>
      <c r="J7" s="138"/>
      <c r="L7" s="127" t="s">
        <v>17</v>
      </c>
      <c r="M7" s="128" t="s">
        <v>19</v>
      </c>
      <c r="N7" s="129" t="s">
        <v>12</v>
      </c>
      <c r="O7" s="8" t="s">
        <v>98</v>
      </c>
      <c r="Q7" s="127" t="s">
        <v>17</v>
      </c>
      <c r="R7" s="128" t="s">
        <v>60</v>
      </c>
      <c r="S7" s="130" t="s">
        <v>63</v>
      </c>
      <c r="T7" s="8" t="s">
        <v>98</v>
      </c>
    </row>
    <row r="8">
      <c r="B8" s="131">
        <f>Pool_1!AG8</f>
        <v>-1.099</v>
      </c>
      <c r="C8" s="139" t="str">
        <f>Pool_1!AH8</f>
        <v>Diego</v>
      </c>
      <c r="D8" s="131">
        <f>Pool_2!AG8</f>
        <v>-2.108</v>
      </c>
      <c r="E8" s="139" t="str">
        <f>Pool_2!AH8</f>
        <v>Willem</v>
      </c>
      <c r="F8" s="131">
        <f>Pool_3!AG8</f>
        <v>-2.12</v>
      </c>
      <c r="G8" s="139" t="str">
        <f>Pool_3!AH8</f>
        <v>Frank</v>
      </c>
      <c r="I8" s="140" t="s">
        <v>74</v>
      </c>
      <c r="J8" s="141"/>
      <c r="L8" s="127" t="s">
        <v>20</v>
      </c>
      <c r="M8" s="128" t="s">
        <v>18</v>
      </c>
      <c r="N8" s="129" t="s">
        <v>9</v>
      </c>
      <c r="O8" s="8" t="s">
        <v>98</v>
      </c>
      <c r="Q8" s="127" t="s">
        <v>20</v>
      </c>
      <c r="R8" s="128" t="s">
        <v>62</v>
      </c>
      <c r="S8" s="130" t="s">
        <v>61</v>
      </c>
      <c r="T8" s="8" t="s">
        <v>98</v>
      </c>
    </row>
    <row r="9">
      <c r="B9" s="131">
        <f>Pool_1!AG9</f>
        <v>-5.124</v>
      </c>
      <c r="C9" s="139" t="str">
        <f>Pool_1!AH9</f>
        <v>Teake</v>
      </c>
      <c r="D9" s="131">
        <f>Pool_2!AG9</f>
        <v>-5.153</v>
      </c>
      <c r="E9" s="139" t="str">
        <f>Pool_2!AH9</f>
        <v>Eva</v>
      </c>
      <c r="F9" s="131">
        <f>Pool_3!AG9</f>
        <v>-2.123</v>
      </c>
      <c r="G9" s="139" t="str">
        <f>Pool_3!AH9</f>
        <v>Daniel</v>
      </c>
      <c r="I9" s="142" t="s">
        <v>61</v>
      </c>
      <c r="J9" s="143">
        <v>2.8289999999999997</v>
      </c>
      <c r="L9" s="127" t="s">
        <v>21</v>
      </c>
      <c r="M9" s="128" t="s">
        <v>15</v>
      </c>
      <c r="N9" s="129" t="s">
        <v>22</v>
      </c>
      <c r="O9" s="8" t="s">
        <v>98</v>
      </c>
      <c r="Q9" s="127" t="s">
        <v>21</v>
      </c>
      <c r="R9" s="128" t="s">
        <v>65</v>
      </c>
      <c r="S9" s="130" t="s">
        <v>64</v>
      </c>
      <c r="T9" s="8" t="s">
        <v>98</v>
      </c>
    </row>
    <row r="10">
      <c r="I10" s="142" t="s">
        <v>55</v>
      </c>
      <c r="J10" s="143">
        <v>1.893</v>
      </c>
      <c r="L10" s="127" t="s">
        <v>23</v>
      </c>
      <c r="M10" s="128" t="s">
        <v>12</v>
      </c>
      <c r="N10" s="129" t="s">
        <v>18</v>
      </c>
      <c r="O10" s="8" t="s">
        <v>98</v>
      </c>
      <c r="Q10" s="127" t="s">
        <v>23</v>
      </c>
      <c r="R10" s="128" t="s">
        <v>63</v>
      </c>
      <c r="S10" s="130" t="s">
        <v>62</v>
      </c>
      <c r="T10" s="8" t="s">
        <v>98</v>
      </c>
    </row>
    <row r="11">
      <c r="I11" s="144" t="s">
        <v>12</v>
      </c>
      <c r="J11" s="145">
        <v>1.8869999999999998</v>
      </c>
      <c r="L11" s="127" t="s">
        <v>25</v>
      </c>
      <c r="M11" s="128" t="s">
        <v>19</v>
      </c>
      <c r="N11" s="129" t="s">
        <v>9</v>
      </c>
      <c r="O11" s="8" t="s">
        <v>98</v>
      </c>
      <c r="Q11" s="127" t="s">
        <v>25</v>
      </c>
      <c r="R11" s="128" t="s">
        <v>60</v>
      </c>
      <c r="S11" s="130" t="s">
        <v>61</v>
      </c>
      <c r="T11" s="8" t="s">
        <v>98</v>
      </c>
    </row>
    <row r="12">
      <c r="B12" s="146" t="str">
        <f t="array" ref="B12:C31">Results!K23:L42</f>
        <v>CLEANEST FIGHTERS</v>
      </c>
      <c r="C12" s="146"/>
      <c r="I12" s="104"/>
      <c r="J12" s="138"/>
      <c r="L12" s="127" t="s">
        <v>26</v>
      </c>
      <c r="M12" s="128" t="s">
        <v>12</v>
      </c>
      <c r="N12" s="129" t="s">
        <v>15</v>
      </c>
      <c r="O12" s="8" t="s">
        <v>98</v>
      </c>
      <c r="Q12" s="127" t="s">
        <v>26</v>
      </c>
      <c r="R12" s="128" t="s">
        <v>63</v>
      </c>
      <c r="S12" s="130" t="s">
        <v>65</v>
      </c>
      <c r="T12" s="8" t="s">
        <v>98</v>
      </c>
    </row>
    <row r="13">
      <c r="B13" s="146" t="s">
        <v>28</v>
      </c>
      <c r="C13" s="146" t="s">
        <v>101</v>
      </c>
      <c r="I13" s="104"/>
      <c r="J13" s="138"/>
      <c r="L13" s="127" t="s">
        <v>27</v>
      </c>
      <c r="M13" s="128" t="s">
        <v>9</v>
      </c>
      <c r="N13" s="129" t="s">
        <v>22</v>
      </c>
      <c r="O13" s="8" t="s">
        <v>98</v>
      </c>
      <c r="Q13" s="127" t="s">
        <v>27</v>
      </c>
      <c r="R13" s="128" t="s">
        <v>61</v>
      </c>
      <c r="S13" s="130" t="s">
        <v>64</v>
      </c>
      <c r="T13" s="8" t="s">
        <v>98</v>
      </c>
    </row>
    <row r="14">
      <c r="B14" s="26">
        <v>-7.0</v>
      </c>
      <c r="C14" s="26" t="s">
        <v>9</v>
      </c>
      <c r="I14" s="147" t="s">
        <v>80</v>
      </c>
      <c r="J14" s="148"/>
      <c r="L14" s="127" t="s">
        <v>30</v>
      </c>
      <c r="M14" s="128" t="s">
        <v>19</v>
      </c>
      <c r="N14" s="129" t="s">
        <v>15</v>
      </c>
      <c r="O14" s="8" t="s">
        <v>98</v>
      </c>
      <c r="Q14" s="127" t="s">
        <v>30</v>
      </c>
      <c r="R14" s="128" t="s">
        <v>60</v>
      </c>
      <c r="S14" s="130" t="s">
        <v>65</v>
      </c>
      <c r="T14" s="8" t="s">
        <v>98</v>
      </c>
    </row>
    <row r="15">
      <c r="B15" s="26">
        <v>-7.0</v>
      </c>
      <c r="C15" s="26" t="s">
        <v>15</v>
      </c>
      <c r="I15" s="149" t="s">
        <v>54</v>
      </c>
      <c r="J15" s="150">
        <v>4.927</v>
      </c>
      <c r="L15" s="127" t="s">
        <v>31</v>
      </c>
      <c r="M15" s="128" t="s">
        <v>12</v>
      </c>
      <c r="N15" s="129" t="s">
        <v>9</v>
      </c>
      <c r="O15" s="8" t="s">
        <v>98</v>
      </c>
      <c r="Q15" s="127" t="s">
        <v>31</v>
      </c>
      <c r="R15" s="128" t="s">
        <v>63</v>
      </c>
      <c r="S15" s="130" t="s">
        <v>61</v>
      </c>
      <c r="T15" s="8" t="s">
        <v>98</v>
      </c>
    </row>
    <row r="16">
      <c r="B16" s="26">
        <v>-7.0</v>
      </c>
      <c r="C16" s="26" t="s">
        <v>22</v>
      </c>
      <c r="I16" s="149" t="s">
        <v>60</v>
      </c>
      <c r="J16" s="150">
        <v>2.854</v>
      </c>
      <c r="L16" s="127" t="s">
        <v>32</v>
      </c>
      <c r="M16" s="128" t="s">
        <v>15</v>
      </c>
      <c r="N16" s="129" t="s">
        <v>18</v>
      </c>
      <c r="O16" s="8" t="s">
        <v>98</v>
      </c>
      <c r="Q16" s="127" t="s">
        <v>32</v>
      </c>
      <c r="R16" s="128" t="s">
        <v>65</v>
      </c>
      <c r="S16" s="130" t="s">
        <v>62</v>
      </c>
      <c r="T16" s="8" t="s">
        <v>98</v>
      </c>
    </row>
    <row r="17">
      <c r="B17" s="26">
        <v>-7.0</v>
      </c>
      <c r="C17" s="26" t="s">
        <v>61</v>
      </c>
      <c r="I17" s="149" t="s">
        <v>9</v>
      </c>
      <c r="J17" s="150">
        <v>1.9529999999999998</v>
      </c>
      <c r="L17" s="127" t="s">
        <v>33</v>
      </c>
      <c r="M17" s="128" t="s">
        <v>19</v>
      </c>
      <c r="N17" s="129" t="s">
        <v>22</v>
      </c>
      <c r="O17" s="8" t="s">
        <v>98</v>
      </c>
      <c r="Q17" s="127" t="s">
        <v>33</v>
      </c>
      <c r="R17" s="128" t="s">
        <v>60</v>
      </c>
      <c r="S17" s="130" t="s">
        <v>64</v>
      </c>
      <c r="T17" s="8" t="s">
        <v>98</v>
      </c>
    </row>
    <row r="18">
      <c r="B18" s="26">
        <v>-7.0</v>
      </c>
      <c r="C18" s="26" t="s">
        <v>65</v>
      </c>
    </row>
    <row r="19">
      <c r="B19" s="26">
        <v>-7.0</v>
      </c>
      <c r="C19" s="26" t="s">
        <v>64</v>
      </c>
      <c r="E19" s="56" t="str">
        <f t="array" ref="E19:J31">Eliminations!A10:F22</f>
        <v>Quarter Final 1</v>
      </c>
      <c r="F19" s="103" t="s">
        <v>54</v>
      </c>
      <c r="G19" s="104"/>
      <c r="H19" s="104"/>
      <c r="I19" s="104"/>
      <c r="J19" s="104"/>
      <c r="M19" s="56" t="s">
        <v>67</v>
      </c>
    </row>
    <row r="20">
      <c r="B20" s="26">
        <v>-8.0</v>
      </c>
      <c r="C20" s="26" t="s">
        <v>57</v>
      </c>
      <c r="E20" s="104"/>
      <c r="F20" s="105" t="s">
        <v>56</v>
      </c>
      <c r="G20" s="104"/>
      <c r="H20" s="104"/>
      <c r="I20" s="104"/>
      <c r="J20" s="104"/>
      <c r="L20" s="127" t="str">
        <f t="array" ref="L20:O34">Pool_2!L3:O17</f>
        <v>Match 1</v>
      </c>
      <c r="M20" s="128" t="s">
        <v>57</v>
      </c>
      <c r="N20" s="129" t="s">
        <v>56</v>
      </c>
      <c r="O20" s="8" t="s">
        <v>98</v>
      </c>
    </row>
    <row r="21">
      <c r="B21" s="26">
        <v>-9.0</v>
      </c>
      <c r="C21" s="26" t="s">
        <v>59</v>
      </c>
      <c r="E21" s="104"/>
      <c r="F21" s="104"/>
      <c r="G21" s="56" t="s">
        <v>76</v>
      </c>
      <c r="H21" s="103" t="s">
        <v>54</v>
      </c>
      <c r="I21" s="104"/>
      <c r="J21" s="104"/>
      <c r="L21" s="127" t="s">
        <v>8</v>
      </c>
      <c r="M21" s="128" t="s">
        <v>58</v>
      </c>
      <c r="N21" s="129" t="s">
        <v>54</v>
      </c>
      <c r="O21" s="8" t="s">
        <v>98</v>
      </c>
    </row>
    <row r="22">
      <c r="B22" s="26">
        <v>-10.0</v>
      </c>
      <c r="C22" s="26" t="s">
        <v>18</v>
      </c>
      <c r="E22" s="56" t="s">
        <v>77</v>
      </c>
      <c r="F22" s="103" t="s">
        <v>61</v>
      </c>
      <c r="G22" s="104"/>
      <c r="H22" s="105" t="s">
        <v>61</v>
      </c>
      <c r="I22" s="104"/>
      <c r="J22" s="104"/>
      <c r="L22" s="127" t="s">
        <v>11</v>
      </c>
      <c r="M22" s="128" t="s">
        <v>59</v>
      </c>
      <c r="N22" s="129" t="s">
        <v>55</v>
      </c>
      <c r="O22" s="8" t="s">
        <v>98</v>
      </c>
    </row>
    <row r="23">
      <c r="B23" s="26">
        <v>-10.0</v>
      </c>
      <c r="C23" s="26" t="s">
        <v>62</v>
      </c>
      <c r="E23" s="104"/>
      <c r="F23" s="105" t="s">
        <v>55</v>
      </c>
      <c r="G23" s="104"/>
      <c r="H23" s="104"/>
      <c r="I23" s="56" t="s">
        <v>78</v>
      </c>
      <c r="J23" s="103" t="s">
        <v>54</v>
      </c>
      <c r="L23" s="127" t="s">
        <v>14</v>
      </c>
      <c r="M23" s="128" t="s">
        <v>57</v>
      </c>
      <c r="N23" s="129" t="s">
        <v>54</v>
      </c>
      <c r="O23" s="8" t="s">
        <v>98</v>
      </c>
    </row>
    <row r="24">
      <c r="B24" s="26">
        <v>-11.0</v>
      </c>
      <c r="C24" s="26" t="s">
        <v>19</v>
      </c>
      <c r="E24" s="104"/>
      <c r="F24" s="104"/>
      <c r="G24" s="104"/>
      <c r="H24" s="104"/>
      <c r="I24" s="104"/>
      <c r="J24" s="105" t="s">
        <v>60</v>
      </c>
      <c r="L24" s="127" t="s">
        <v>17</v>
      </c>
      <c r="M24" s="128" t="s">
        <v>56</v>
      </c>
      <c r="N24" s="129" t="s">
        <v>58</v>
      </c>
      <c r="O24" s="8" t="s">
        <v>98</v>
      </c>
    </row>
    <row r="25">
      <c r="B25" s="26">
        <v>-11.0</v>
      </c>
      <c r="C25" s="26" t="s">
        <v>58</v>
      </c>
      <c r="E25" s="56" t="s">
        <v>81</v>
      </c>
      <c r="F25" s="103" t="s">
        <v>9</v>
      </c>
      <c r="G25" s="104"/>
      <c r="H25" s="104"/>
      <c r="I25" s="104"/>
      <c r="J25" s="104"/>
      <c r="L25" s="127" t="s">
        <v>20</v>
      </c>
      <c r="M25" s="128" t="s">
        <v>57</v>
      </c>
      <c r="N25" s="129" t="s">
        <v>59</v>
      </c>
      <c r="O25" s="8" t="s">
        <v>98</v>
      </c>
    </row>
    <row r="26">
      <c r="B26" s="26">
        <v>-11.0</v>
      </c>
      <c r="C26" s="26" t="s">
        <v>60</v>
      </c>
      <c r="E26" s="104"/>
      <c r="F26" s="105" t="s">
        <v>12</v>
      </c>
      <c r="G26" s="56"/>
      <c r="H26" s="103" t="s">
        <v>12</v>
      </c>
      <c r="I26" s="104"/>
      <c r="J26" s="104"/>
      <c r="L26" s="127" t="s">
        <v>21</v>
      </c>
      <c r="M26" s="128" t="s">
        <v>55</v>
      </c>
      <c r="N26" s="129" t="s">
        <v>54</v>
      </c>
      <c r="O26" s="8" t="s">
        <v>98</v>
      </c>
    </row>
    <row r="27">
      <c r="B27" s="26">
        <v>-12.0</v>
      </c>
      <c r="C27" s="26" t="s">
        <v>12</v>
      </c>
      <c r="E27" s="104"/>
      <c r="F27" s="104"/>
      <c r="G27" s="104" t="s">
        <v>82</v>
      </c>
      <c r="H27" s="105" t="s">
        <v>60</v>
      </c>
      <c r="I27" s="104"/>
      <c r="J27" s="104"/>
      <c r="L27" s="127" t="s">
        <v>23</v>
      </c>
      <c r="M27" s="128" t="s">
        <v>58</v>
      </c>
      <c r="N27" s="129" t="s">
        <v>57</v>
      </c>
      <c r="O27" s="8" t="s">
        <v>98</v>
      </c>
    </row>
    <row r="28">
      <c r="B28" s="26">
        <v>-12.0</v>
      </c>
      <c r="C28" s="26" t="s">
        <v>54</v>
      </c>
      <c r="E28" s="56" t="s">
        <v>83</v>
      </c>
      <c r="F28" s="103" t="s">
        <v>15</v>
      </c>
      <c r="G28" s="104"/>
      <c r="H28" s="104"/>
      <c r="I28" s="104"/>
      <c r="J28" s="104"/>
      <c r="L28" s="127" t="s">
        <v>25</v>
      </c>
      <c r="M28" s="128" t="s">
        <v>56</v>
      </c>
      <c r="N28" s="129" t="s">
        <v>59</v>
      </c>
      <c r="O28" s="8" t="s">
        <v>98</v>
      </c>
    </row>
    <row r="29">
      <c r="B29" s="26">
        <v>-12.0</v>
      </c>
      <c r="C29" s="26" t="s">
        <v>63</v>
      </c>
      <c r="E29" s="104"/>
      <c r="F29" s="105" t="s">
        <v>60</v>
      </c>
      <c r="G29" s="104"/>
      <c r="H29" s="104"/>
      <c r="I29" s="104"/>
      <c r="J29" s="104"/>
      <c r="L29" s="127" t="s">
        <v>26</v>
      </c>
      <c r="M29" s="128" t="s">
        <v>58</v>
      </c>
      <c r="N29" s="129" t="s">
        <v>55</v>
      </c>
      <c r="O29" s="8" t="s">
        <v>98</v>
      </c>
    </row>
    <row r="30">
      <c r="B30" s="26">
        <v>-13.0</v>
      </c>
      <c r="C30" s="26" t="s">
        <v>56</v>
      </c>
      <c r="E30" s="104"/>
      <c r="F30" s="104"/>
      <c r="G30" s="104"/>
      <c r="H30" s="104"/>
      <c r="I30" s="56" t="s">
        <v>84</v>
      </c>
      <c r="J30" s="103" t="s">
        <v>61</v>
      </c>
      <c r="L30" s="127" t="s">
        <v>27</v>
      </c>
      <c r="M30" s="128" t="s">
        <v>59</v>
      </c>
      <c r="N30" s="129" t="s">
        <v>54</v>
      </c>
      <c r="O30" s="8" t="s">
        <v>98</v>
      </c>
    </row>
    <row r="31">
      <c r="B31" s="26">
        <v>-13.0</v>
      </c>
      <c r="C31" s="26" t="s">
        <v>55</v>
      </c>
      <c r="E31" s="104"/>
      <c r="F31" s="104"/>
      <c r="G31" s="104"/>
      <c r="H31" s="104"/>
      <c r="I31" s="104"/>
      <c r="J31" s="105" t="s">
        <v>12</v>
      </c>
      <c r="L31" s="127" t="s">
        <v>30</v>
      </c>
      <c r="M31" s="128" t="s">
        <v>56</v>
      </c>
      <c r="N31" s="129" t="s">
        <v>55</v>
      </c>
      <c r="O31" s="8" t="s">
        <v>98</v>
      </c>
    </row>
    <row r="32">
      <c r="L32" s="127" t="s">
        <v>31</v>
      </c>
      <c r="M32" s="128" t="s">
        <v>58</v>
      </c>
      <c r="N32" s="129" t="s">
        <v>59</v>
      </c>
      <c r="O32" s="8" t="s">
        <v>98</v>
      </c>
    </row>
    <row r="33">
      <c r="L33" s="127" t="s">
        <v>32</v>
      </c>
      <c r="M33" s="128" t="s">
        <v>55</v>
      </c>
      <c r="N33" s="129" t="s">
        <v>57</v>
      </c>
      <c r="O33" s="8" t="s">
        <v>98</v>
      </c>
    </row>
    <row r="34">
      <c r="L34" s="127" t="s">
        <v>33</v>
      </c>
      <c r="M34" s="128" t="s">
        <v>56</v>
      </c>
      <c r="N34" s="129" t="s">
        <v>54</v>
      </c>
      <c r="O34" s="8" t="s">
        <v>98</v>
      </c>
    </row>
  </sheetData>
  <mergeCells count="3">
    <mergeCell ref="B2:C2"/>
    <mergeCell ref="D2:E2"/>
    <mergeCell ref="F2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151" t="s">
        <v>102</v>
      </c>
      <c r="C1" s="152"/>
      <c r="D1" s="152"/>
      <c r="E1" s="152"/>
      <c r="F1" s="152"/>
      <c r="G1" s="152"/>
      <c r="H1" s="15"/>
      <c r="J1" s="122" t="s">
        <v>103</v>
      </c>
      <c r="K1" s="152"/>
      <c r="L1" s="152"/>
      <c r="M1" s="152"/>
      <c r="N1" s="152"/>
      <c r="O1" s="152"/>
      <c r="P1" s="15"/>
      <c r="R1" s="153"/>
      <c r="S1" s="153"/>
      <c r="T1" s="153"/>
      <c r="U1" s="153"/>
      <c r="V1" s="153"/>
      <c r="W1" s="153"/>
      <c r="X1" s="153"/>
    </row>
    <row r="2">
      <c r="B2" s="16" t="s">
        <v>24</v>
      </c>
      <c r="C2" s="16" t="s">
        <v>2</v>
      </c>
      <c r="D2" s="16" t="s">
        <v>104</v>
      </c>
      <c r="E2" s="16" t="s">
        <v>105</v>
      </c>
      <c r="F2" s="16" t="s">
        <v>41</v>
      </c>
      <c r="G2" s="16" t="s">
        <v>35</v>
      </c>
      <c r="H2" s="16" t="s">
        <v>106</v>
      </c>
      <c r="J2" s="154" t="str">
        <f t="array" ref="J2:P20">sort(B2:H20,3,FALSE)</f>
        <v>Matches Won</v>
      </c>
      <c r="K2" s="154" t="s">
        <v>2</v>
      </c>
      <c r="L2" s="154" t="s">
        <v>104</v>
      </c>
      <c r="M2" s="155" t="s">
        <v>105</v>
      </c>
      <c r="N2" s="156" t="s">
        <v>41</v>
      </c>
      <c r="O2" s="156" t="s">
        <v>35</v>
      </c>
      <c r="P2" s="156" t="s">
        <v>106</v>
      </c>
      <c r="R2" s="104"/>
      <c r="S2" s="104"/>
      <c r="T2" s="104"/>
      <c r="U2" s="104"/>
      <c r="V2" s="104"/>
      <c r="W2" s="104"/>
      <c r="X2" s="104"/>
    </row>
    <row r="3">
      <c r="B3" s="26">
        <f>Pool_1!AB4</f>
        <v>2</v>
      </c>
      <c r="C3" s="26">
        <f>Pool_1!AC4</f>
        <v>3</v>
      </c>
      <c r="D3" s="131">
        <f>Pool_1!AD4</f>
        <v>-1.099</v>
      </c>
      <c r="E3" s="26" t="str">
        <f>Pool_1!AE4</f>
        <v>Diego</v>
      </c>
      <c r="F3" s="157">
        <f>Pool_1!AB24</f>
        <v>47</v>
      </c>
      <c r="G3" s="157">
        <f>Pool_1!AC24</f>
        <v>36</v>
      </c>
      <c r="H3" s="157">
        <f>Pool_1!AD24</f>
        <v>11</v>
      </c>
      <c r="J3" s="158">
        <v>5.0</v>
      </c>
      <c r="K3" s="158">
        <v>0.0</v>
      </c>
      <c r="L3" s="159">
        <v>4.927</v>
      </c>
      <c r="M3" s="160" t="s">
        <v>54</v>
      </c>
      <c r="N3" s="157">
        <v>69.0</v>
      </c>
      <c r="O3" s="157">
        <v>22.0</v>
      </c>
      <c r="P3" s="161">
        <v>47.0</v>
      </c>
    </row>
    <row r="4">
      <c r="B4" s="26">
        <f>Pool_1!AB5</f>
        <v>3</v>
      </c>
      <c r="C4" s="26">
        <f>Pool_1!AC5</f>
        <v>1</v>
      </c>
      <c r="D4" s="131">
        <f>Pool_1!AD5</f>
        <v>1.887</v>
      </c>
      <c r="E4" s="26" t="str">
        <f>Pool_1!AE5</f>
        <v>Eminence Bruin</v>
      </c>
      <c r="F4" s="157">
        <f>Pool_1!AB25</f>
        <v>42</v>
      </c>
      <c r="G4" s="157">
        <f>Pool_1!AC25</f>
        <v>35</v>
      </c>
      <c r="H4" s="157">
        <f>Pool_1!AD25</f>
        <v>7</v>
      </c>
      <c r="J4" s="158">
        <v>4.0</v>
      </c>
      <c r="K4" s="158">
        <v>1.0</v>
      </c>
      <c r="L4" s="159">
        <v>2.854</v>
      </c>
      <c r="M4" s="160" t="s">
        <v>60</v>
      </c>
      <c r="N4" s="157">
        <v>57.0</v>
      </c>
      <c r="O4" s="157">
        <v>33.0</v>
      </c>
      <c r="P4" s="161">
        <v>24.0</v>
      </c>
    </row>
    <row r="5">
      <c r="B5" s="26">
        <f>Pool_1!AB6</f>
        <v>3</v>
      </c>
      <c r="C5" s="26">
        <f>Pool_1!AC6</f>
        <v>1</v>
      </c>
      <c r="D5" s="131">
        <f>Pool_1!AD6</f>
        <v>1.953</v>
      </c>
      <c r="E5" s="26" t="str">
        <f>Pool_1!AE6</f>
        <v>Tim the Burgundy Enchanter</v>
      </c>
      <c r="F5" s="157">
        <f>Pool_1!AB26</f>
        <v>60</v>
      </c>
      <c r="G5" s="157">
        <f>Pool_1!AC26</f>
        <v>37</v>
      </c>
      <c r="H5" s="157">
        <f>Pool_1!AD26</f>
        <v>23</v>
      </c>
      <c r="J5" s="158">
        <v>4.0</v>
      </c>
      <c r="K5" s="158">
        <v>1.0</v>
      </c>
      <c r="L5" s="159">
        <v>2.8289999999999997</v>
      </c>
      <c r="M5" s="160" t="s">
        <v>61</v>
      </c>
      <c r="N5" s="157">
        <v>49.0</v>
      </c>
      <c r="O5" s="157">
        <v>40.0</v>
      </c>
      <c r="P5" s="161">
        <v>9.0</v>
      </c>
    </row>
    <row r="6">
      <c r="B6" s="26">
        <f>Pool_1!AB7</f>
        <v>2</v>
      </c>
      <c r="C6" s="26">
        <f>Pool_1!AC7</f>
        <v>1</v>
      </c>
      <c r="D6" s="131">
        <f>Pool_1!AD7</f>
        <v>0.942</v>
      </c>
      <c r="E6" s="26" t="str">
        <f>Pool_1!AE7</f>
        <v>Teun</v>
      </c>
      <c r="F6" s="157">
        <f>Pool_1!AB27</f>
        <v>48</v>
      </c>
      <c r="G6" s="157">
        <f>Pool_1!AC27</f>
        <v>36</v>
      </c>
      <c r="H6" s="157">
        <f>Pool_1!AD27</f>
        <v>12</v>
      </c>
      <c r="J6" s="158">
        <v>3.0</v>
      </c>
      <c r="K6" s="158">
        <v>1.0</v>
      </c>
      <c r="L6" s="159">
        <v>1.9529999999999998</v>
      </c>
      <c r="M6" s="160" t="s">
        <v>9</v>
      </c>
      <c r="N6" s="157">
        <v>60.0</v>
      </c>
      <c r="O6" s="157">
        <v>37.0</v>
      </c>
      <c r="P6" s="161">
        <v>23.0</v>
      </c>
    </row>
    <row r="7">
      <c r="B7" s="26">
        <f>Pool_1!AB8</f>
        <v>0</v>
      </c>
      <c r="C7" s="26">
        <f>Pool_1!AC8</f>
        <v>5</v>
      </c>
      <c r="D7" s="131">
        <f>Pool_1!AD8</f>
        <v>-5.124</v>
      </c>
      <c r="E7" s="26" t="str">
        <f>Pool_1!AE8</f>
        <v>Teake</v>
      </c>
      <c r="F7" s="157">
        <f>Pool_1!AB28</f>
        <v>19</v>
      </c>
      <c r="G7" s="157">
        <f>Pool_1!AC28</f>
        <v>73</v>
      </c>
      <c r="H7" s="157">
        <f>Pool_1!AD28</f>
        <v>-54</v>
      </c>
      <c r="J7" s="158">
        <v>3.0</v>
      </c>
      <c r="K7" s="158">
        <v>1.0</v>
      </c>
      <c r="L7" s="159">
        <v>1.893</v>
      </c>
      <c r="M7" s="160" t="s">
        <v>55</v>
      </c>
      <c r="N7" s="157">
        <v>53.0</v>
      </c>
      <c r="O7" s="157">
        <v>30.0</v>
      </c>
      <c r="P7" s="161">
        <v>23.0</v>
      </c>
    </row>
    <row r="8">
      <c r="B8" s="26">
        <f>Pool_1!AB9</f>
        <v>3</v>
      </c>
      <c r="C8" s="26">
        <f>Pool_1!AC9</f>
        <v>2</v>
      </c>
      <c r="D8" s="131">
        <f>Pool_1!AD9</f>
        <v>0.901</v>
      </c>
      <c r="E8" s="26" t="str">
        <f>Pool_1!AE9</f>
        <v>Ronald</v>
      </c>
      <c r="F8" s="157">
        <f>Pool_1!AB29</f>
        <v>46</v>
      </c>
      <c r="G8" s="157">
        <f>Pool_1!AC29</f>
        <v>45</v>
      </c>
      <c r="H8" s="157">
        <f>Pool_1!AD29</f>
        <v>1</v>
      </c>
      <c r="J8" s="158">
        <v>3.0</v>
      </c>
      <c r="K8" s="158">
        <v>1.0</v>
      </c>
      <c r="L8" s="159">
        <v>1.8869999999999998</v>
      </c>
      <c r="M8" s="160" t="s">
        <v>12</v>
      </c>
      <c r="N8" s="157">
        <v>42.0</v>
      </c>
      <c r="O8" s="157">
        <v>35.0</v>
      </c>
      <c r="P8" s="161">
        <v>7.0</v>
      </c>
    </row>
    <row r="9">
      <c r="B9" s="26">
        <f>Pool_2!AB4</f>
        <v>3</v>
      </c>
      <c r="C9" s="26">
        <f>Pool_2!AC4</f>
        <v>2</v>
      </c>
      <c r="D9" s="131">
        <f>Pool_2!AD4</f>
        <v>0.868</v>
      </c>
      <c r="E9" s="26" t="str">
        <f>Pool_2!AE4</f>
        <v>Arjan</v>
      </c>
      <c r="F9" s="157">
        <f>Pool_2!AB24</f>
        <v>39</v>
      </c>
      <c r="G9" s="162">
        <f>Pool_2!AC24</f>
        <v>41</v>
      </c>
      <c r="H9" s="162">
        <f>Pool_2!AD24</f>
        <v>-2</v>
      </c>
      <c r="J9" s="158">
        <v>2.0</v>
      </c>
      <c r="K9" s="158">
        <v>1.0</v>
      </c>
      <c r="L9" s="159">
        <v>0.942</v>
      </c>
      <c r="M9" s="160" t="s">
        <v>15</v>
      </c>
      <c r="N9" s="157">
        <v>48.0</v>
      </c>
      <c r="O9" s="157">
        <v>36.0</v>
      </c>
      <c r="P9" s="161">
        <v>12.0</v>
      </c>
    </row>
    <row r="10">
      <c r="B10" s="26">
        <f>Pool_2!AB5</f>
        <v>1</v>
      </c>
      <c r="C10" s="26">
        <f>Pool_2!AC5</f>
        <v>3</v>
      </c>
      <c r="D10" s="131">
        <f>Pool_2!AD5</f>
        <v>-2.108</v>
      </c>
      <c r="E10" s="26" t="str">
        <f>Pool_2!AE5</f>
        <v>Willem</v>
      </c>
      <c r="F10" s="157">
        <f>Pool_2!AB25</f>
        <v>46</v>
      </c>
      <c r="G10" s="162">
        <f>Pool_2!AC25</f>
        <v>44</v>
      </c>
      <c r="H10" s="162">
        <f>Pool_2!AD25</f>
        <v>2</v>
      </c>
      <c r="J10" s="158">
        <v>3.0</v>
      </c>
      <c r="K10" s="158">
        <v>2.0</v>
      </c>
      <c r="L10" s="159">
        <v>0.901</v>
      </c>
      <c r="M10" s="160" t="s">
        <v>18</v>
      </c>
      <c r="N10" s="157">
        <v>46.0</v>
      </c>
      <c r="O10" s="157">
        <v>45.0</v>
      </c>
      <c r="P10" s="161">
        <v>1.0</v>
      </c>
    </row>
    <row r="11">
      <c r="B11" s="26">
        <f>Pool_2!AB6</f>
        <v>0</v>
      </c>
      <c r="C11" s="26">
        <f>Pool_2!AC6</f>
        <v>5</v>
      </c>
      <c r="D11" s="131">
        <f>Pool_2!AD6</f>
        <v>-5.153</v>
      </c>
      <c r="E11" s="26" t="str">
        <f>Pool_2!AE6</f>
        <v>Eva</v>
      </c>
      <c r="F11" s="157">
        <f>Pool_2!AB26</f>
        <v>10</v>
      </c>
      <c r="G11" s="162">
        <f>Pool_2!AC26</f>
        <v>73</v>
      </c>
      <c r="H11" s="162">
        <f>Pool_2!AD26</f>
        <v>-63</v>
      </c>
      <c r="J11" s="158">
        <v>3.0</v>
      </c>
      <c r="K11" s="158">
        <v>2.0</v>
      </c>
      <c r="L11" s="159">
        <v>0.868</v>
      </c>
      <c r="M11" s="160" t="s">
        <v>56</v>
      </c>
      <c r="N11" s="157">
        <v>39.0</v>
      </c>
      <c r="O11" s="157">
        <v>41.0</v>
      </c>
      <c r="P11" s="161">
        <v>-2.0</v>
      </c>
    </row>
    <row r="12">
      <c r="B12" s="26">
        <f>Pool_2!AB7</f>
        <v>3</v>
      </c>
      <c r="C12" s="26">
        <f>Pool_2!AC7</f>
        <v>1</v>
      </c>
      <c r="D12" s="131">
        <f>Pool_2!AD7</f>
        <v>1.893</v>
      </c>
      <c r="E12" s="26" t="str">
        <f>Pool_2!AE7</f>
        <v>Rory</v>
      </c>
      <c r="F12" s="157">
        <f>Pool_2!AB27</f>
        <v>53</v>
      </c>
      <c r="G12" s="162">
        <f>Pool_2!AC27</f>
        <v>30</v>
      </c>
      <c r="H12" s="162">
        <f>Pool_2!AD27</f>
        <v>23</v>
      </c>
      <c r="J12" s="158">
        <v>2.0</v>
      </c>
      <c r="K12" s="158">
        <v>3.0</v>
      </c>
      <c r="L12" s="159">
        <v>-1.068</v>
      </c>
      <c r="M12" s="160" t="s">
        <v>62</v>
      </c>
      <c r="N12" s="157">
        <v>61.0</v>
      </c>
      <c r="O12" s="157">
        <v>39.0</v>
      </c>
      <c r="P12" s="161">
        <v>22.0</v>
      </c>
    </row>
    <row r="13">
      <c r="B13" s="26">
        <f>Pool_2!AB8</f>
        <v>5</v>
      </c>
      <c r="C13" s="26">
        <f>Pool_2!AC8</f>
        <v>0</v>
      </c>
      <c r="D13" s="131">
        <f>Pool_2!AD8</f>
        <v>4.927</v>
      </c>
      <c r="E13" s="26" t="str">
        <f>Pool_2!AE8</f>
        <v>Jesse</v>
      </c>
      <c r="F13" s="157">
        <f>Pool_2!AB28</f>
        <v>69</v>
      </c>
      <c r="G13" s="162">
        <f>Pool_2!AC28</f>
        <v>22</v>
      </c>
      <c r="H13" s="162">
        <f>Pool_2!AD28</f>
        <v>47</v>
      </c>
      <c r="J13" s="158">
        <v>2.0</v>
      </c>
      <c r="K13" s="158">
        <v>3.0</v>
      </c>
      <c r="L13" s="159">
        <v>-1.087</v>
      </c>
      <c r="M13" s="160" t="s">
        <v>57</v>
      </c>
      <c r="N13" s="157">
        <v>44.0</v>
      </c>
      <c r="O13" s="157">
        <v>51.0</v>
      </c>
      <c r="P13" s="161">
        <v>-7.0</v>
      </c>
    </row>
    <row r="14">
      <c r="B14" s="26">
        <f>Pool_2!AB9</f>
        <v>2</v>
      </c>
      <c r="C14" s="26">
        <f>Pool_2!AC9</f>
        <v>3</v>
      </c>
      <c r="D14" s="131">
        <f>Pool_2!AD9</f>
        <v>-1.087</v>
      </c>
      <c r="E14" s="26" t="str">
        <f>Pool_2!AE9</f>
        <v>Maarten</v>
      </c>
      <c r="F14" s="157">
        <f>Pool_2!AB29</f>
        <v>44</v>
      </c>
      <c r="G14" s="162">
        <f>Pool_2!AC29</f>
        <v>51</v>
      </c>
      <c r="H14" s="162">
        <f>Pool_2!AD29</f>
        <v>-7</v>
      </c>
      <c r="J14" s="158">
        <v>2.0</v>
      </c>
      <c r="K14" s="158">
        <v>3.0</v>
      </c>
      <c r="L14" s="159">
        <v>-1.0990000000000002</v>
      </c>
      <c r="M14" s="160" t="s">
        <v>19</v>
      </c>
      <c r="N14" s="157">
        <v>47.0</v>
      </c>
      <c r="O14" s="157">
        <v>36.0</v>
      </c>
      <c r="P14" s="161">
        <v>11.0</v>
      </c>
    </row>
    <row r="15">
      <c r="B15" s="26">
        <f>Pool_3!AB4</f>
        <v>4</v>
      </c>
      <c r="C15" s="26">
        <f>Pool_3!AC4</f>
        <v>1</v>
      </c>
      <c r="D15" s="131">
        <f>Pool_3!AD4</f>
        <v>2.854</v>
      </c>
      <c r="E15" s="26" t="str">
        <f>Pool_3!AE4</f>
        <v>Berend</v>
      </c>
      <c r="F15" s="157">
        <f>Pool_3!AB24</f>
        <v>57</v>
      </c>
      <c r="G15" s="157">
        <f>Pool_3!AC24</f>
        <v>33</v>
      </c>
      <c r="H15" s="157">
        <f>Pool_3!AD24</f>
        <v>24</v>
      </c>
      <c r="J15" s="158">
        <v>2.0</v>
      </c>
      <c r="K15" s="158">
        <v>3.0</v>
      </c>
      <c r="L15" s="159">
        <v>-1.1520000000000001</v>
      </c>
      <c r="M15" s="160" t="s">
        <v>63</v>
      </c>
      <c r="N15" s="157">
        <v>42.0</v>
      </c>
      <c r="O15" s="157">
        <v>54.0</v>
      </c>
      <c r="P15" s="161">
        <v>-12.0</v>
      </c>
    </row>
    <row r="16">
      <c r="B16" s="26">
        <f>Pool_3!AB5</f>
        <v>2</v>
      </c>
      <c r="C16" s="26">
        <f>Pool_3!AC5</f>
        <v>3</v>
      </c>
      <c r="D16" s="131">
        <f>Pool_3!AD5</f>
        <v>-1.152</v>
      </c>
      <c r="E16" s="26" t="str">
        <f>Pool_3!AE5</f>
        <v>Judith</v>
      </c>
      <c r="F16" s="157">
        <f>Pool_3!AB25</f>
        <v>42</v>
      </c>
      <c r="G16" s="157">
        <f>Pool_3!AC25</f>
        <v>54</v>
      </c>
      <c r="H16" s="157">
        <f>Pool_3!AD25</f>
        <v>-12</v>
      </c>
      <c r="J16" s="158">
        <v>1.0</v>
      </c>
      <c r="K16" s="158">
        <v>3.0</v>
      </c>
      <c r="L16" s="159">
        <v>-2.108</v>
      </c>
      <c r="M16" s="160" t="s">
        <v>58</v>
      </c>
      <c r="N16" s="157">
        <v>46.0</v>
      </c>
      <c r="O16" s="157">
        <v>44.0</v>
      </c>
      <c r="P16" s="161">
        <v>2.0</v>
      </c>
    </row>
    <row r="17">
      <c r="B17" s="26">
        <f>Pool_3!AB6</f>
        <v>4</v>
      </c>
      <c r="C17" s="26">
        <f>Pool_3!AC6</f>
        <v>1</v>
      </c>
      <c r="D17" s="131">
        <f>Pool_3!AD6</f>
        <v>2.829</v>
      </c>
      <c r="E17" s="26" t="str">
        <f>Pool_3!AE6</f>
        <v>Tjeard</v>
      </c>
      <c r="F17" s="157">
        <f>Pool_3!AB26</f>
        <v>49</v>
      </c>
      <c r="G17" s="157">
        <f>Pool_3!AC26</f>
        <v>40</v>
      </c>
      <c r="H17" s="157">
        <f>Pool_3!AD26</f>
        <v>9</v>
      </c>
      <c r="J17" s="158">
        <v>1.0</v>
      </c>
      <c r="K17" s="158">
        <v>3.0</v>
      </c>
      <c r="L17" s="159">
        <v>-2.1199999999999997</v>
      </c>
      <c r="M17" s="160" t="s">
        <v>64</v>
      </c>
      <c r="N17" s="157">
        <v>35.0</v>
      </c>
      <c r="O17" s="157">
        <v>65.0</v>
      </c>
      <c r="P17" s="161">
        <v>-30.0</v>
      </c>
    </row>
    <row r="18">
      <c r="B18" s="26">
        <f>Pool_3!AB7</f>
        <v>1</v>
      </c>
      <c r="C18" s="26">
        <f>Pool_3!AC7</f>
        <v>3</v>
      </c>
      <c r="D18" s="131">
        <f>Pool_3!AD7</f>
        <v>-2.123</v>
      </c>
      <c r="E18" s="26" t="str">
        <f>Pool_3!AE7</f>
        <v>Daniel</v>
      </c>
      <c r="F18" s="157">
        <f>Pool_3!AB27</f>
        <v>42</v>
      </c>
      <c r="G18" s="157">
        <f>Pool_3!AC27</f>
        <v>55</v>
      </c>
      <c r="H18" s="157">
        <f>Pool_3!AD27</f>
        <v>-13</v>
      </c>
      <c r="J18" s="158">
        <v>1.0</v>
      </c>
      <c r="K18" s="158">
        <v>3.0</v>
      </c>
      <c r="L18" s="159">
        <v>-2.1229999999999998</v>
      </c>
      <c r="M18" s="160" t="s">
        <v>65</v>
      </c>
      <c r="N18" s="157">
        <v>42.0</v>
      </c>
      <c r="O18" s="157">
        <v>55.0</v>
      </c>
      <c r="P18" s="161">
        <v>-13.0</v>
      </c>
    </row>
    <row r="19">
      <c r="B19" s="26">
        <f>Pool_3!AB8</f>
        <v>1</v>
      </c>
      <c r="C19" s="26">
        <f>Pool_3!AC8</f>
        <v>3</v>
      </c>
      <c r="D19" s="131">
        <f>Pool_3!AD8</f>
        <v>-2.12</v>
      </c>
      <c r="E19" s="26" t="str">
        <f>Pool_3!AE8</f>
        <v>Frank</v>
      </c>
      <c r="F19" s="157">
        <f>Pool_3!AB28</f>
        <v>35</v>
      </c>
      <c r="G19" s="157">
        <f>Pool_3!AC28</f>
        <v>65</v>
      </c>
      <c r="H19" s="157">
        <f>Pool_3!AD28</f>
        <v>-30</v>
      </c>
      <c r="J19" s="158">
        <v>0.0</v>
      </c>
      <c r="K19" s="158">
        <v>5.0</v>
      </c>
      <c r="L19" s="159">
        <v>-5.1240000000000006</v>
      </c>
      <c r="M19" s="160" t="s">
        <v>22</v>
      </c>
      <c r="N19" s="157">
        <v>19.0</v>
      </c>
      <c r="O19" s="157">
        <v>73.0</v>
      </c>
      <c r="P19" s="161">
        <v>-54.0</v>
      </c>
    </row>
    <row r="20">
      <c r="B20" s="26">
        <f>Pool_3!AB9</f>
        <v>2</v>
      </c>
      <c r="C20" s="26">
        <f>Pool_3!AC9</f>
        <v>3</v>
      </c>
      <c r="D20" s="131">
        <f>Pool_3!AD9</f>
        <v>-1.068</v>
      </c>
      <c r="E20" s="26" t="str">
        <f>Pool_3!AE9</f>
        <v>Mittens</v>
      </c>
      <c r="F20" s="157">
        <f>Pool_3!AB29</f>
        <v>61</v>
      </c>
      <c r="G20" s="157">
        <f>Pool_3!AC29</f>
        <v>39</v>
      </c>
      <c r="H20" s="157">
        <f>Pool_3!AD29</f>
        <v>22</v>
      </c>
      <c r="J20" s="158">
        <v>0.0</v>
      </c>
      <c r="K20" s="158">
        <v>5.0</v>
      </c>
      <c r="L20" s="159">
        <v>-5.153</v>
      </c>
      <c r="M20" s="160" t="s">
        <v>59</v>
      </c>
      <c r="N20" s="157">
        <v>10.0</v>
      </c>
      <c r="O20" s="157">
        <v>73.0</v>
      </c>
      <c r="P20" s="161">
        <v>-63.0</v>
      </c>
    </row>
    <row r="21">
      <c r="B21" s="151" t="s">
        <v>107</v>
      </c>
      <c r="C21" s="152"/>
      <c r="D21" s="152"/>
      <c r="E21" s="152"/>
      <c r="F21" s="152"/>
      <c r="G21" s="152"/>
      <c r="H21" s="15"/>
      <c r="I21" s="56"/>
      <c r="J21" s="163" t="s">
        <v>107</v>
      </c>
      <c r="K21" s="152"/>
      <c r="L21" s="152"/>
      <c r="M21" s="152"/>
      <c r="N21" s="152"/>
      <c r="O21" s="152"/>
      <c r="P21" s="15"/>
      <c r="Q21" s="56"/>
      <c r="R21" s="56"/>
      <c r="S21" s="56"/>
      <c r="T21" s="56"/>
      <c r="U21" s="56"/>
      <c r="V21" s="56"/>
      <c r="W21" s="56"/>
      <c r="X21" s="56"/>
    </row>
    <row r="22">
      <c r="B22" s="104"/>
    </row>
    <row r="23">
      <c r="K23" s="164" t="s">
        <v>108</v>
      </c>
      <c r="N23" s="165" t="s">
        <v>109</v>
      </c>
      <c r="O23" s="152"/>
      <c r="P23" s="15"/>
    </row>
    <row r="24">
      <c r="A24" s="151" t="s">
        <v>110</v>
      </c>
      <c r="B24" s="152"/>
      <c r="C24" s="15"/>
      <c r="D24" s="151" t="s">
        <v>111</v>
      </c>
      <c r="E24" s="152"/>
      <c r="F24" s="15"/>
      <c r="G24" s="151" t="s">
        <v>28</v>
      </c>
      <c r="H24" s="15"/>
      <c r="K24" s="166" t="s">
        <v>28</v>
      </c>
      <c r="L24" s="166" t="s">
        <v>101</v>
      </c>
      <c r="N24" s="167" t="s">
        <v>104</v>
      </c>
      <c r="O24" s="168" t="s">
        <v>105</v>
      </c>
      <c r="P24" s="169" t="s">
        <v>106</v>
      </c>
    </row>
    <row r="25">
      <c r="A25" s="16" t="s">
        <v>104</v>
      </c>
      <c r="B25" s="16" t="s">
        <v>105</v>
      </c>
      <c r="C25" s="16" t="s">
        <v>106</v>
      </c>
      <c r="D25" s="16" t="s">
        <v>104</v>
      </c>
      <c r="E25" s="16" t="s">
        <v>105</v>
      </c>
      <c r="F25" s="16" t="s">
        <v>106</v>
      </c>
      <c r="G25" s="26">
        <f>Pool_1!AD14</f>
        <v>-11</v>
      </c>
      <c r="H25" s="26" t="str">
        <f t="shared" ref="H25:H42" si="2">E3</f>
        <v>Diego</v>
      </c>
      <c r="K25" s="26">
        <f t="array" ref="K25:L42">sort(G25:H42,1,FALSE)</f>
        <v>-7</v>
      </c>
      <c r="L25" s="160" t="s">
        <v>9</v>
      </c>
      <c r="N25" s="131">
        <f t="array" ref="N25:P42">SORT(D26:F43,1,FALSE)</f>
        <v>8.913897436</v>
      </c>
      <c r="O25" s="160" t="s">
        <v>60</v>
      </c>
      <c r="P25" s="157">
        <v>38.0</v>
      </c>
    </row>
    <row r="26">
      <c r="A26" s="131">
        <f t="array" ref="A26:C33">SORT(A39:C46,1,FALSE)</f>
        <v>3.029948718</v>
      </c>
      <c r="B26" s="26" t="s">
        <v>60</v>
      </c>
      <c r="C26" s="170">
        <v>14.0</v>
      </c>
      <c r="D26" s="131">
        <f t="shared" ref="D26:F26" si="1">F53</f>
        <v>-1.099</v>
      </c>
      <c r="E26" s="26" t="str">
        <f t="shared" si="1"/>
        <v>Diego</v>
      </c>
      <c r="F26" s="157">
        <f t="shared" si="1"/>
        <v>11</v>
      </c>
      <c r="G26" s="26">
        <f>Pool_1!AD15</f>
        <v>-12</v>
      </c>
      <c r="H26" s="26" t="str">
        <f t="shared" si="2"/>
        <v>Eminence Bruin</v>
      </c>
      <c r="K26" s="26">
        <v>-7.0</v>
      </c>
      <c r="L26" s="160" t="s">
        <v>15</v>
      </c>
      <c r="N26" s="131">
        <v>8.88670695970696</v>
      </c>
      <c r="O26" s="160" t="s">
        <v>54</v>
      </c>
      <c r="P26" s="157">
        <v>57.0</v>
      </c>
    </row>
    <row r="27">
      <c r="A27" s="131">
        <v>1.97985347985348</v>
      </c>
      <c r="B27" s="26" t="s">
        <v>54</v>
      </c>
      <c r="C27" s="170">
        <v>10.0</v>
      </c>
      <c r="D27" s="131">
        <f t="shared" ref="D27:F27" si="3">F54</f>
        <v>3.778340659</v>
      </c>
      <c r="E27" s="26" t="str">
        <f t="shared" si="3"/>
        <v>Eminence Bruin</v>
      </c>
      <c r="F27" s="157">
        <f t="shared" si="3"/>
        <v>5</v>
      </c>
      <c r="G27" s="26">
        <f>Pool_1!AD16</f>
        <v>-7</v>
      </c>
      <c r="H27" s="26" t="str">
        <f t="shared" si="2"/>
        <v>Tim the Burgundy Enchanter</v>
      </c>
      <c r="K27" s="26">
        <v>-7.0</v>
      </c>
      <c r="L27" s="160" t="s">
        <v>22</v>
      </c>
      <c r="N27" s="131">
        <v>5.919959706959707</v>
      </c>
      <c r="O27" s="160" t="s">
        <v>61</v>
      </c>
      <c r="P27" s="157">
        <v>7.0</v>
      </c>
    </row>
    <row r="28">
      <c r="A28" s="131">
        <v>1.5454798534798537</v>
      </c>
      <c r="B28" s="26" t="s">
        <v>61</v>
      </c>
      <c r="C28" s="170">
        <v>-2.0</v>
      </c>
      <c r="D28" s="131">
        <f t="shared" ref="D28:F28" si="4">F55</f>
        <v>1.952428571</v>
      </c>
      <c r="E28" s="26" t="str">
        <f t="shared" si="4"/>
        <v>Tim the Burgundy Enchanter</v>
      </c>
      <c r="F28" s="157">
        <f t="shared" si="4"/>
        <v>17</v>
      </c>
      <c r="G28" s="26">
        <f>Pool_1!AD17</f>
        <v>-7</v>
      </c>
      <c r="H28" s="26" t="str">
        <f t="shared" si="2"/>
        <v>Teun</v>
      </c>
      <c r="K28" s="26">
        <v>-7.0</v>
      </c>
      <c r="L28" s="160" t="s">
        <v>61</v>
      </c>
      <c r="N28" s="131">
        <v>3.778340659340659</v>
      </c>
      <c r="O28" s="160" t="s">
        <v>12</v>
      </c>
      <c r="P28" s="157">
        <v>5.0</v>
      </c>
    </row>
    <row r="29">
      <c r="A29" s="131">
        <v>0.9456703296703296</v>
      </c>
      <c r="B29" s="26" t="s">
        <v>12</v>
      </c>
      <c r="C29" s="170">
        <v>-2.0</v>
      </c>
      <c r="D29" s="131">
        <f t="shared" ref="D29:F29" si="5">F56</f>
        <v>0.9413333333</v>
      </c>
      <c r="E29" s="26" t="str">
        <f t="shared" si="5"/>
        <v>Teun</v>
      </c>
      <c r="F29" s="157">
        <f t="shared" si="5"/>
        <v>5</v>
      </c>
      <c r="G29" s="26">
        <f>Pool_1!AD18</f>
        <v>-7</v>
      </c>
      <c r="H29" s="26" t="str">
        <f t="shared" si="2"/>
        <v>Teake</v>
      </c>
      <c r="K29" s="26">
        <v>-7.0</v>
      </c>
      <c r="L29" s="160" t="s">
        <v>65</v>
      </c>
      <c r="N29" s="131">
        <v>1.9524285714285712</v>
      </c>
      <c r="O29" s="160" t="s">
        <v>9</v>
      </c>
      <c r="P29" s="157">
        <v>17.0</v>
      </c>
    </row>
    <row r="30">
      <c r="A30" s="131">
        <v>-9.523809523809524E-5</v>
      </c>
      <c r="B30" s="26" t="s">
        <v>55</v>
      </c>
      <c r="C30" s="170">
        <v>-2.0</v>
      </c>
      <c r="D30" s="131">
        <f t="shared" ref="D30:F30" si="6">F57</f>
        <v>-5.124</v>
      </c>
      <c r="E30" s="26" t="str">
        <f t="shared" si="6"/>
        <v>Teake</v>
      </c>
      <c r="F30" s="157">
        <f t="shared" si="6"/>
        <v>-54</v>
      </c>
      <c r="G30" s="26">
        <f>Pool_1!AD19</f>
        <v>-10</v>
      </c>
      <c r="H30" s="26" t="str">
        <f t="shared" si="2"/>
        <v>Ronald</v>
      </c>
      <c r="K30" s="26">
        <v>-7.0</v>
      </c>
      <c r="L30" s="160" t="s">
        <v>64</v>
      </c>
      <c r="N30" s="131">
        <v>1.8928095238095237</v>
      </c>
      <c r="O30" s="160" t="s">
        <v>55</v>
      </c>
      <c r="P30" s="157">
        <v>21.0</v>
      </c>
    </row>
    <row r="31">
      <c r="A31" s="131">
        <v>-2.380952380952381E-4</v>
      </c>
      <c r="B31" s="26" t="s">
        <v>56</v>
      </c>
      <c r="C31" s="170">
        <v>-5.0</v>
      </c>
      <c r="D31" s="131">
        <f t="shared" ref="D31:F31" si="7">F58</f>
        <v>0.901</v>
      </c>
      <c r="E31" s="26" t="str">
        <f t="shared" si="7"/>
        <v>Ronald</v>
      </c>
      <c r="F31" s="157">
        <f t="shared" si="7"/>
        <v>1</v>
      </c>
      <c r="G31" s="26">
        <f>Pool_2!AD14</f>
        <v>-13</v>
      </c>
      <c r="H31" s="26" t="str">
        <f t="shared" si="2"/>
        <v>Arjan</v>
      </c>
      <c r="K31" s="26">
        <v>-8.0</v>
      </c>
      <c r="L31" s="160" t="s">
        <v>57</v>
      </c>
      <c r="N31" s="131">
        <v>0.9413333333333332</v>
      </c>
      <c r="O31" s="160" t="s">
        <v>15</v>
      </c>
      <c r="P31" s="157">
        <v>5.0</v>
      </c>
    </row>
    <row r="32">
      <c r="A32" s="131">
        <v>-2.857142857142857E-4</v>
      </c>
      <c r="B32" s="26" t="s">
        <v>9</v>
      </c>
      <c r="C32" s="170">
        <v>-6.0</v>
      </c>
      <c r="D32" s="131">
        <f t="shared" ref="D32:F32" si="8">F59</f>
        <v>0.8675238095</v>
      </c>
      <c r="E32" s="26" t="str">
        <f t="shared" si="8"/>
        <v>Arjan</v>
      </c>
      <c r="F32" s="157">
        <f t="shared" si="8"/>
        <v>-7</v>
      </c>
      <c r="G32" s="26">
        <f>Pool_2!AD15</f>
        <v>-11</v>
      </c>
      <c r="H32" s="26" t="str">
        <f t="shared" si="2"/>
        <v>Willem</v>
      </c>
      <c r="K32" s="26">
        <v>-9.0</v>
      </c>
      <c r="L32" s="160" t="s">
        <v>59</v>
      </c>
      <c r="N32" s="131">
        <v>0.901</v>
      </c>
      <c r="O32" s="160" t="s">
        <v>18</v>
      </c>
      <c r="P32" s="157">
        <v>1.0</v>
      </c>
    </row>
    <row r="33">
      <c r="A33" s="131">
        <v>-3.333333333333333E-4</v>
      </c>
      <c r="B33" s="26" t="s">
        <v>15</v>
      </c>
      <c r="C33" s="170">
        <v>-7.0</v>
      </c>
      <c r="D33" s="131">
        <f t="shared" ref="D33:F33" si="9">F60</f>
        <v>-2.108</v>
      </c>
      <c r="E33" s="26" t="str">
        <f t="shared" si="9"/>
        <v>Willem</v>
      </c>
      <c r="F33" s="157">
        <f t="shared" si="9"/>
        <v>2</v>
      </c>
      <c r="G33" s="26">
        <f>Pool_2!AD16</f>
        <v>-9</v>
      </c>
      <c r="H33" s="26" t="str">
        <f t="shared" si="2"/>
        <v>Eva</v>
      </c>
      <c r="K33" s="26">
        <v>-10.0</v>
      </c>
      <c r="L33" s="160" t="s">
        <v>18</v>
      </c>
      <c r="N33" s="131">
        <v>0.8675238095238095</v>
      </c>
      <c r="O33" s="160" t="s">
        <v>56</v>
      </c>
      <c r="P33" s="157">
        <v>-7.0</v>
      </c>
    </row>
    <row r="34">
      <c r="D34" s="131">
        <f t="shared" ref="D34:F34" si="10">F61</f>
        <v>-5.153</v>
      </c>
      <c r="E34" s="26" t="str">
        <f t="shared" si="10"/>
        <v>Eva</v>
      </c>
      <c r="F34" s="157">
        <f t="shared" si="10"/>
        <v>-63</v>
      </c>
      <c r="G34" s="26">
        <f>Pool_2!AD17</f>
        <v>-13</v>
      </c>
      <c r="H34" s="26" t="str">
        <f t="shared" si="2"/>
        <v>Rory</v>
      </c>
      <c r="K34" s="26">
        <v>-10.0</v>
      </c>
      <c r="L34" s="160" t="s">
        <v>62</v>
      </c>
      <c r="N34" s="131">
        <v>-1.068</v>
      </c>
      <c r="O34" s="160" t="s">
        <v>62</v>
      </c>
      <c r="P34" s="157">
        <v>22.0</v>
      </c>
    </row>
    <row r="35">
      <c r="D35" s="131">
        <f t="shared" ref="D35:F35" si="11">F62</f>
        <v>1.892809524</v>
      </c>
      <c r="E35" s="26" t="str">
        <f t="shared" si="11"/>
        <v>Rory</v>
      </c>
      <c r="F35" s="157">
        <f t="shared" si="11"/>
        <v>21</v>
      </c>
      <c r="G35" s="26">
        <f>Pool_2!AD18</f>
        <v>-12</v>
      </c>
      <c r="H35" s="26" t="str">
        <f t="shared" si="2"/>
        <v>Jesse</v>
      </c>
      <c r="K35" s="26">
        <v>-11.0</v>
      </c>
      <c r="L35" s="160" t="s">
        <v>19</v>
      </c>
      <c r="N35" s="131">
        <v>-1.087</v>
      </c>
      <c r="O35" s="160" t="s">
        <v>57</v>
      </c>
      <c r="P35" s="157">
        <v>-7.0</v>
      </c>
    </row>
    <row r="36">
      <c r="D36" s="131">
        <f t="shared" ref="D36:F36" si="12">F63</f>
        <v>8.88670696</v>
      </c>
      <c r="E36" s="26" t="str">
        <f t="shared" si="12"/>
        <v>Jesse</v>
      </c>
      <c r="F36" s="157">
        <f t="shared" si="12"/>
        <v>57</v>
      </c>
      <c r="G36" s="26">
        <f>Pool_2!AD19</f>
        <v>-8</v>
      </c>
      <c r="H36" s="26" t="str">
        <f t="shared" si="2"/>
        <v>Maarten</v>
      </c>
      <c r="K36" s="26">
        <v>-11.0</v>
      </c>
      <c r="L36" s="160" t="s">
        <v>58</v>
      </c>
      <c r="N36" s="131">
        <v>-1.0990000000000002</v>
      </c>
      <c r="O36" s="160" t="s">
        <v>19</v>
      </c>
      <c r="P36" s="157">
        <v>11.0</v>
      </c>
    </row>
    <row r="37">
      <c r="A37" s="151" t="s">
        <v>112</v>
      </c>
      <c r="B37" s="152"/>
      <c r="C37" s="15"/>
      <c r="D37" s="131">
        <f t="shared" ref="D37:F37" si="13">F64</f>
        <v>-1.087</v>
      </c>
      <c r="E37" s="26" t="str">
        <f t="shared" si="13"/>
        <v>Maarten</v>
      </c>
      <c r="F37" s="157">
        <f t="shared" si="13"/>
        <v>-7</v>
      </c>
      <c r="G37" s="26">
        <f>Pool_1!AD14</f>
        <v>-11</v>
      </c>
      <c r="H37" s="26" t="str">
        <f t="shared" si="2"/>
        <v>Berend</v>
      </c>
      <c r="K37" s="26">
        <v>-11.0</v>
      </c>
      <c r="L37" s="160" t="s">
        <v>60</v>
      </c>
      <c r="N37" s="131">
        <v>-1.1520000000000001</v>
      </c>
      <c r="O37" s="160" t="s">
        <v>63</v>
      </c>
      <c r="P37" s="157">
        <v>-12.0</v>
      </c>
    </row>
    <row r="38">
      <c r="A38" s="16" t="s">
        <v>104</v>
      </c>
      <c r="B38" s="16" t="s">
        <v>105</v>
      </c>
      <c r="C38" s="16" t="s">
        <v>106</v>
      </c>
      <c r="D38" s="131">
        <f t="shared" ref="D38:F38" si="14">F65</f>
        <v>8.913897436</v>
      </c>
      <c r="E38" s="26" t="str">
        <f t="shared" si="14"/>
        <v>Berend</v>
      </c>
      <c r="F38" s="157">
        <f t="shared" si="14"/>
        <v>38</v>
      </c>
      <c r="G38" s="26">
        <f>Pool_1!AD15</f>
        <v>-12</v>
      </c>
      <c r="H38" s="26" t="str">
        <f t="shared" si="2"/>
        <v>Judith</v>
      </c>
      <c r="K38" s="26">
        <v>-12.0</v>
      </c>
      <c r="L38" s="160" t="s">
        <v>12</v>
      </c>
      <c r="N38" s="131">
        <v>-2.108</v>
      </c>
      <c r="O38" s="160" t="s">
        <v>58</v>
      </c>
      <c r="P38" s="157">
        <v>2.0</v>
      </c>
    </row>
    <row r="39">
      <c r="A39" s="131">
        <f>Eliminations!BJ5</f>
        <v>1.97985348</v>
      </c>
      <c r="B39" s="26" t="str">
        <f>Eliminations!BK5</f>
        <v>Jesse</v>
      </c>
      <c r="C39" s="170">
        <f>Eliminations!BJ17</f>
        <v>10</v>
      </c>
      <c r="D39" s="131">
        <f t="shared" ref="D39:F39" si="15">F66</f>
        <v>-1.152</v>
      </c>
      <c r="E39" s="26" t="str">
        <f t="shared" si="15"/>
        <v>Judith</v>
      </c>
      <c r="F39" s="157">
        <f t="shared" si="15"/>
        <v>-12</v>
      </c>
      <c r="G39" s="26">
        <f>Pool_1!AD16</f>
        <v>-7</v>
      </c>
      <c r="H39" s="26" t="str">
        <f t="shared" si="2"/>
        <v>Tjeard</v>
      </c>
      <c r="K39" s="26">
        <v>-12.0</v>
      </c>
      <c r="L39" s="160" t="s">
        <v>54</v>
      </c>
      <c r="N39" s="131">
        <v>-2.1199999999999997</v>
      </c>
      <c r="O39" s="160" t="s">
        <v>64</v>
      </c>
      <c r="P39" s="157">
        <v>-30.0</v>
      </c>
    </row>
    <row r="40">
      <c r="A40" s="131">
        <f>Eliminations!BJ6</f>
        <v>-0.0002380952381</v>
      </c>
      <c r="B40" s="26" t="str">
        <f>Eliminations!BK6</f>
        <v>Arjan</v>
      </c>
      <c r="C40" s="170">
        <f>Eliminations!BJ18</f>
        <v>-5</v>
      </c>
      <c r="D40" s="131">
        <f t="shared" ref="D40:F40" si="16">F67</f>
        <v>5.919959707</v>
      </c>
      <c r="E40" s="26" t="str">
        <f t="shared" si="16"/>
        <v>Tjeard</v>
      </c>
      <c r="F40" s="157">
        <f t="shared" si="16"/>
        <v>7</v>
      </c>
      <c r="G40" s="26">
        <f>Pool_1!AD17</f>
        <v>-7</v>
      </c>
      <c r="H40" s="26" t="str">
        <f t="shared" si="2"/>
        <v>Daniel</v>
      </c>
      <c r="K40" s="26">
        <v>-12.0</v>
      </c>
      <c r="L40" s="160" t="s">
        <v>63</v>
      </c>
      <c r="N40" s="131">
        <v>-2.1229999999999998</v>
      </c>
      <c r="O40" s="160" t="s">
        <v>65</v>
      </c>
      <c r="P40" s="157">
        <v>-13.0</v>
      </c>
    </row>
    <row r="41">
      <c r="A41" s="131">
        <f>Eliminations!BJ7</f>
        <v>1.545479853</v>
      </c>
      <c r="B41" s="26" t="str">
        <f>Eliminations!BK7</f>
        <v>Tjeard</v>
      </c>
      <c r="C41" s="170">
        <f>Eliminations!BJ19</f>
        <v>-2</v>
      </c>
      <c r="D41" s="131">
        <f t="shared" ref="D41:F41" si="17">F68</f>
        <v>-2.123</v>
      </c>
      <c r="E41" s="26" t="str">
        <f t="shared" si="17"/>
        <v>Daniel</v>
      </c>
      <c r="F41" s="157">
        <f t="shared" si="17"/>
        <v>-13</v>
      </c>
      <c r="G41" s="26">
        <f>Pool_1!AD18</f>
        <v>-7</v>
      </c>
      <c r="H41" s="26" t="str">
        <f t="shared" si="2"/>
        <v>Frank</v>
      </c>
      <c r="K41" s="26">
        <v>-13.0</v>
      </c>
      <c r="L41" s="160" t="s">
        <v>56</v>
      </c>
      <c r="N41" s="131">
        <v>-5.1240000000000006</v>
      </c>
      <c r="O41" s="160" t="s">
        <v>22</v>
      </c>
      <c r="P41" s="157">
        <v>-54.0</v>
      </c>
    </row>
    <row r="42">
      <c r="A42" s="131">
        <f>Eliminations!BJ8</f>
        <v>-0.00009523809524</v>
      </c>
      <c r="B42" s="26" t="str">
        <f>Eliminations!BK8</f>
        <v>Rory</v>
      </c>
      <c r="C42" s="170">
        <f>Eliminations!BJ20</f>
        <v>-2</v>
      </c>
      <c r="D42" s="131">
        <f t="shared" ref="D42:F42" si="18">F69</f>
        <v>-2.12</v>
      </c>
      <c r="E42" s="26" t="str">
        <f t="shared" si="18"/>
        <v>Frank</v>
      </c>
      <c r="F42" s="157">
        <f t="shared" si="18"/>
        <v>-30</v>
      </c>
      <c r="G42" s="26">
        <f>Pool_1!AD19</f>
        <v>-10</v>
      </c>
      <c r="H42" s="26" t="str">
        <f t="shared" si="2"/>
        <v>Mittens</v>
      </c>
      <c r="K42" s="26">
        <v>-13.0</v>
      </c>
      <c r="L42" s="160" t="s">
        <v>55</v>
      </c>
      <c r="N42" s="131">
        <v>-5.153</v>
      </c>
      <c r="O42" s="160" t="s">
        <v>59</v>
      </c>
      <c r="P42" s="157">
        <v>-63.0</v>
      </c>
    </row>
    <row r="43">
      <c r="A43" s="131">
        <f>Eliminations!BJ9</f>
        <v>-0.0002857142857</v>
      </c>
      <c r="B43" s="26" t="str">
        <f>Eliminations!BK9</f>
        <v>Tim the Burgundy Enchanter</v>
      </c>
      <c r="C43" s="170">
        <f>Eliminations!BJ21</f>
        <v>-6</v>
      </c>
      <c r="D43" s="131">
        <f t="shared" ref="D43:F43" si="19">F70</f>
        <v>-1.068</v>
      </c>
      <c r="E43" s="26" t="str">
        <f t="shared" si="19"/>
        <v>Mittens</v>
      </c>
      <c r="F43" s="157">
        <f t="shared" si="19"/>
        <v>22</v>
      </c>
      <c r="M43" s="171"/>
      <c r="N43" s="172" t="s">
        <v>113</v>
      </c>
      <c r="O43" s="173"/>
      <c r="P43" s="174"/>
    </row>
    <row r="44">
      <c r="A44" s="131">
        <f>Eliminations!BJ10</f>
        <v>0.9456703297</v>
      </c>
      <c r="B44" s="26" t="str">
        <f>Eliminations!BK10</f>
        <v>Eminence Bruin</v>
      </c>
      <c r="C44" s="170">
        <f>Eliminations!BJ22</f>
        <v>-2</v>
      </c>
      <c r="D44" s="172" t="s">
        <v>113</v>
      </c>
      <c r="E44" s="173"/>
      <c r="F44" s="174"/>
      <c r="M44" s="171"/>
      <c r="N44" s="175"/>
      <c r="P44" s="176"/>
    </row>
    <row r="45">
      <c r="A45" s="131">
        <f>Eliminations!BJ11</f>
        <v>-0.0003333333333</v>
      </c>
      <c r="B45" s="26" t="str">
        <f>Eliminations!BK11</f>
        <v>Teun</v>
      </c>
      <c r="C45" s="170">
        <f>Eliminations!BJ23</f>
        <v>-7</v>
      </c>
      <c r="D45" s="175"/>
      <c r="F45" s="176"/>
      <c r="N45" s="175"/>
      <c r="P45" s="176"/>
    </row>
    <row r="46">
      <c r="A46" s="131">
        <f>Eliminations!BJ12</f>
        <v>3.029948718</v>
      </c>
      <c r="B46" s="26" t="str">
        <f>Eliminations!BK12</f>
        <v>Berend</v>
      </c>
      <c r="C46" s="170">
        <f>Eliminations!BJ24</f>
        <v>14</v>
      </c>
      <c r="D46" s="175"/>
      <c r="F46" s="176"/>
      <c r="N46" s="177"/>
      <c r="O46" s="178"/>
      <c r="P46" s="179"/>
    </row>
    <row r="47">
      <c r="D47" s="177"/>
      <c r="E47" s="178"/>
      <c r="F47" s="179"/>
    </row>
    <row r="53">
      <c r="A53" s="8" t="str">
        <f t="shared" ref="A53:A70" si="21">E3</f>
        <v>Diego</v>
      </c>
      <c r="B53" s="98">
        <f t="shared" ref="B53:B70" si="22">D3</f>
        <v>-1.099</v>
      </c>
      <c r="C53" s="8" t="str">
        <f t="shared" ref="C53:C60" si="23">B39</f>
        <v>Jesse</v>
      </c>
      <c r="D53" s="98">
        <f t="shared" ref="D53:D60" si="24">A39*2</f>
        <v>3.95970696</v>
      </c>
      <c r="F53" s="98">
        <f t="shared" ref="F53:F70" si="25">SUMIF(A$53:C$70,A$53:A$70,B$53:D$70)</f>
        <v>-1.099</v>
      </c>
      <c r="G53" s="8" t="str">
        <f t="shared" ref="G53:G70" si="26">A53</f>
        <v>Diego</v>
      </c>
      <c r="H53" s="2">
        <f t="shared" ref="H53:H70" si="27">SUMIF(J$53:L$70,J$53:J$70,K$53:M$70)</f>
        <v>11</v>
      </c>
      <c r="J53" s="8" t="str">
        <f t="shared" ref="J53:J70" si="28">E3</f>
        <v>Diego</v>
      </c>
      <c r="K53" s="8">
        <f t="shared" ref="K53:K70" si="29">H3</f>
        <v>11</v>
      </c>
      <c r="L53" s="8" t="str">
        <f t="shared" ref="L53:M53" si="20">B39</f>
        <v>Jesse</v>
      </c>
      <c r="M53" s="98">
        <f t="shared" si="20"/>
        <v>10</v>
      </c>
    </row>
    <row r="54">
      <c r="A54" s="8" t="str">
        <f t="shared" si="21"/>
        <v>Eminence Bruin</v>
      </c>
      <c r="B54" s="98">
        <f t="shared" si="22"/>
        <v>1.887</v>
      </c>
      <c r="C54" s="8" t="str">
        <f t="shared" si="23"/>
        <v>Arjan</v>
      </c>
      <c r="D54" s="98">
        <f t="shared" si="24"/>
        <v>-0.0004761904762</v>
      </c>
      <c r="F54" s="98">
        <f t="shared" si="25"/>
        <v>3.778340659</v>
      </c>
      <c r="G54" s="8" t="str">
        <f t="shared" si="26"/>
        <v>Eminence Bruin</v>
      </c>
      <c r="H54" s="2">
        <f t="shared" si="27"/>
        <v>5</v>
      </c>
      <c r="J54" s="8" t="str">
        <f t="shared" si="28"/>
        <v>Eminence Bruin</v>
      </c>
      <c r="K54" s="8">
        <f t="shared" si="29"/>
        <v>7</v>
      </c>
      <c r="L54" s="8" t="str">
        <f t="shared" ref="L54:M54" si="30">B40</f>
        <v>Arjan</v>
      </c>
      <c r="M54" s="98">
        <f t="shared" si="30"/>
        <v>-5</v>
      </c>
    </row>
    <row r="55">
      <c r="A55" s="8" t="str">
        <f t="shared" si="21"/>
        <v>Tim the Burgundy Enchanter</v>
      </c>
      <c r="B55" s="98">
        <f t="shared" si="22"/>
        <v>1.953</v>
      </c>
      <c r="C55" s="8" t="str">
        <f t="shared" si="23"/>
        <v>Tjeard</v>
      </c>
      <c r="D55" s="98">
        <f t="shared" si="24"/>
        <v>3.090959707</v>
      </c>
      <c r="F55" s="98">
        <f t="shared" si="25"/>
        <v>1.952428571</v>
      </c>
      <c r="G55" s="8" t="str">
        <f t="shared" si="26"/>
        <v>Tim the Burgundy Enchanter</v>
      </c>
      <c r="H55" s="2">
        <f t="shared" si="27"/>
        <v>17</v>
      </c>
      <c r="J55" s="8" t="str">
        <f t="shared" si="28"/>
        <v>Tim the Burgundy Enchanter</v>
      </c>
      <c r="K55" s="8">
        <f t="shared" si="29"/>
        <v>23</v>
      </c>
      <c r="L55" s="8" t="str">
        <f t="shared" ref="L55:M55" si="31">B41</f>
        <v>Tjeard</v>
      </c>
      <c r="M55" s="98">
        <f t="shared" si="31"/>
        <v>-2</v>
      </c>
    </row>
    <row r="56">
      <c r="A56" s="8" t="str">
        <f t="shared" si="21"/>
        <v>Teun</v>
      </c>
      <c r="B56" s="98">
        <f t="shared" si="22"/>
        <v>0.942</v>
      </c>
      <c r="C56" s="8" t="str">
        <f t="shared" si="23"/>
        <v>Rory</v>
      </c>
      <c r="D56" s="98">
        <f t="shared" si="24"/>
        <v>-0.0001904761905</v>
      </c>
      <c r="F56" s="98">
        <f t="shared" si="25"/>
        <v>0.9413333333</v>
      </c>
      <c r="G56" s="8" t="str">
        <f t="shared" si="26"/>
        <v>Teun</v>
      </c>
      <c r="H56" s="2">
        <f t="shared" si="27"/>
        <v>5</v>
      </c>
      <c r="J56" s="8" t="str">
        <f t="shared" si="28"/>
        <v>Teun</v>
      </c>
      <c r="K56" s="8">
        <f t="shared" si="29"/>
        <v>12</v>
      </c>
      <c r="L56" s="8" t="str">
        <f t="shared" ref="L56:M56" si="32">B42</f>
        <v>Rory</v>
      </c>
      <c r="M56" s="98">
        <f t="shared" si="32"/>
        <v>-2</v>
      </c>
    </row>
    <row r="57">
      <c r="A57" s="8" t="str">
        <f t="shared" si="21"/>
        <v>Teake</v>
      </c>
      <c r="B57" s="98">
        <f t="shared" si="22"/>
        <v>-5.124</v>
      </c>
      <c r="C57" s="8" t="str">
        <f t="shared" si="23"/>
        <v>Tim the Burgundy Enchanter</v>
      </c>
      <c r="D57" s="98">
        <f t="shared" si="24"/>
        <v>-0.0005714285714</v>
      </c>
      <c r="F57" s="98">
        <f t="shared" si="25"/>
        <v>-5.124</v>
      </c>
      <c r="G57" s="8" t="str">
        <f t="shared" si="26"/>
        <v>Teake</v>
      </c>
      <c r="H57" s="2">
        <f t="shared" si="27"/>
        <v>-54</v>
      </c>
      <c r="J57" s="8" t="str">
        <f t="shared" si="28"/>
        <v>Teake</v>
      </c>
      <c r="K57" s="8">
        <f t="shared" si="29"/>
        <v>-54</v>
      </c>
      <c r="L57" s="8" t="str">
        <f t="shared" ref="L57:M57" si="33">B43</f>
        <v>Tim the Burgundy Enchanter</v>
      </c>
      <c r="M57" s="98">
        <f t="shared" si="33"/>
        <v>-6</v>
      </c>
    </row>
    <row r="58">
      <c r="A58" s="8" t="str">
        <f t="shared" si="21"/>
        <v>Ronald</v>
      </c>
      <c r="B58" s="98">
        <f t="shared" si="22"/>
        <v>0.901</v>
      </c>
      <c r="C58" s="8" t="str">
        <f t="shared" si="23"/>
        <v>Eminence Bruin</v>
      </c>
      <c r="D58" s="98">
        <f t="shared" si="24"/>
        <v>1.891340659</v>
      </c>
      <c r="F58" s="98">
        <f t="shared" si="25"/>
        <v>0.901</v>
      </c>
      <c r="G58" s="8" t="str">
        <f t="shared" si="26"/>
        <v>Ronald</v>
      </c>
      <c r="H58" s="2">
        <f t="shared" si="27"/>
        <v>1</v>
      </c>
      <c r="J58" s="8" t="str">
        <f t="shared" si="28"/>
        <v>Ronald</v>
      </c>
      <c r="K58" s="8">
        <f t="shared" si="29"/>
        <v>1</v>
      </c>
      <c r="L58" s="8" t="str">
        <f t="shared" ref="L58:M58" si="34">B44</f>
        <v>Eminence Bruin</v>
      </c>
      <c r="M58" s="98">
        <f t="shared" si="34"/>
        <v>-2</v>
      </c>
    </row>
    <row r="59">
      <c r="A59" s="8" t="str">
        <f t="shared" si="21"/>
        <v>Arjan</v>
      </c>
      <c r="B59" s="98">
        <f t="shared" si="22"/>
        <v>0.868</v>
      </c>
      <c r="C59" s="8" t="str">
        <f t="shared" si="23"/>
        <v>Teun</v>
      </c>
      <c r="D59" s="98">
        <f t="shared" si="24"/>
        <v>-0.0006666666667</v>
      </c>
      <c r="F59" s="98">
        <f t="shared" si="25"/>
        <v>0.8675238095</v>
      </c>
      <c r="G59" s="8" t="str">
        <f t="shared" si="26"/>
        <v>Arjan</v>
      </c>
      <c r="H59" s="2">
        <f t="shared" si="27"/>
        <v>-7</v>
      </c>
      <c r="J59" s="8" t="str">
        <f t="shared" si="28"/>
        <v>Arjan</v>
      </c>
      <c r="K59" s="8">
        <f t="shared" si="29"/>
        <v>-2</v>
      </c>
      <c r="L59" s="8" t="str">
        <f t="shared" ref="L59:M59" si="35">B45</f>
        <v>Teun</v>
      </c>
      <c r="M59" s="98">
        <f t="shared" si="35"/>
        <v>-7</v>
      </c>
    </row>
    <row r="60">
      <c r="A60" s="8" t="str">
        <f t="shared" si="21"/>
        <v>Willem</v>
      </c>
      <c r="B60" s="98">
        <f t="shared" si="22"/>
        <v>-2.108</v>
      </c>
      <c r="C60" s="8" t="str">
        <f t="shared" si="23"/>
        <v>Berend</v>
      </c>
      <c r="D60" s="98">
        <f t="shared" si="24"/>
        <v>6.059897436</v>
      </c>
      <c r="F60" s="98">
        <f t="shared" si="25"/>
        <v>-2.108</v>
      </c>
      <c r="G60" s="8" t="str">
        <f t="shared" si="26"/>
        <v>Willem</v>
      </c>
      <c r="H60" s="2">
        <f t="shared" si="27"/>
        <v>2</v>
      </c>
      <c r="J60" s="8" t="str">
        <f t="shared" si="28"/>
        <v>Willem</v>
      </c>
      <c r="K60" s="8">
        <f t="shared" si="29"/>
        <v>2</v>
      </c>
      <c r="L60" s="8" t="str">
        <f t="shared" ref="L60:M60" si="36">B46</f>
        <v>Berend</v>
      </c>
      <c r="M60" s="98">
        <f t="shared" si="36"/>
        <v>14</v>
      </c>
    </row>
    <row r="61">
      <c r="A61" s="8" t="str">
        <f t="shared" si="21"/>
        <v>Eva</v>
      </c>
      <c r="B61" s="98">
        <f t="shared" si="22"/>
        <v>-5.153</v>
      </c>
      <c r="D61" s="8" t="str">
        <f t="shared" ref="D61:D63" si="37">B34</f>
        <v/>
      </c>
      <c r="F61" s="98">
        <f t="shared" si="25"/>
        <v>-5.153</v>
      </c>
      <c r="G61" s="8" t="str">
        <f t="shared" si="26"/>
        <v>Eva</v>
      </c>
      <c r="H61" s="2">
        <f t="shared" si="27"/>
        <v>-63</v>
      </c>
      <c r="J61" s="8" t="str">
        <f t="shared" si="28"/>
        <v>Eva</v>
      </c>
      <c r="K61" s="8">
        <f t="shared" si="29"/>
        <v>-63</v>
      </c>
    </row>
    <row r="62">
      <c r="A62" s="8" t="str">
        <f t="shared" si="21"/>
        <v>Rory</v>
      </c>
      <c r="B62" s="98">
        <f t="shared" si="22"/>
        <v>1.893</v>
      </c>
      <c r="D62" s="8" t="str">
        <f t="shared" si="37"/>
        <v/>
      </c>
      <c r="F62" s="98">
        <f t="shared" si="25"/>
        <v>1.892809524</v>
      </c>
      <c r="G62" s="8" t="str">
        <f t="shared" si="26"/>
        <v>Rory</v>
      </c>
      <c r="H62" s="2">
        <f t="shared" si="27"/>
        <v>21</v>
      </c>
      <c r="J62" s="8" t="str">
        <f t="shared" si="28"/>
        <v>Rory</v>
      </c>
      <c r="K62" s="8">
        <f t="shared" si="29"/>
        <v>23</v>
      </c>
    </row>
    <row r="63">
      <c r="A63" s="8" t="str">
        <f t="shared" si="21"/>
        <v>Jesse</v>
      </c>
      <c r="B63" s="98">
        <f t="shared" si="22"/>
        <v>4.927</v>
      </c>
      <c r="D63" s="8" t="str">
        <f t="shared" si="37"/>
        <v/>
      </c>
      <c r="F63" s="98">
        <f t="shared" si="25"/>
        <v>8.88670696</v>
      </c>
      <c r="G63" s="8" t="str">
        <f t="shared" si="26"/>
        <v>Jesse</v>
      </c>
      <c r="H63" s="2">
        <f t="shared" si="27"/>
        <v>57</v>
      </c>
      <c r="J63" s="8" t="str">
        <f t="shared" si="28"/>
        <v>Jesse</v>
      </c>
      <c r="K63" s="8">
        <f t="shared" si="29"/>
        <v>47</v>
      </c>
    </row>
    <row r="64">
      <c r="A64" s="8" t="str">
        <f t="shared" si="21"/>
        <v>Maarten</v>
      </c>
      <c r="B64" s="98">
        <f t="shared" si="22"/>
        <v>-1.087</v>
      </c>
      <c r="F64" s="98">
        <f t="shared" si="25"/>
        <v>-1.087</v>
      </c>
      <c r="G64" s="8" t="str">
        <f t="shared" si="26"/>
        <v>Maarten</v>
      </c>
      <c r="H64" s="2">
        <f t="shared" si="27"/>
        <v>-7</v>
      </c>
      <c r="J64" s="8" t="str">
        <f t="shared" si="28"/>
        <v>Maarten</v>
      </c>
      <c r="K64" s="8">
        <f t="shared" si="29"/>
        <v>-7</v>
      </c>
    </row>
    <row r="65">
      <c r="A65" s="8" t="str">
        <f t="shared" si="21"/>
        <v>Berend</v>
      </c>
      <c r="B65" s="98">
        <f t="shared" si="22"/>
        <v>2.854</v>
      </c>
      <c r="F65" s="98">
        <f t="shared" si="25"/>
        <v>8.913897436</v>
      </c>
      <c r="G65" s="8" t="str">
        <f t="shared" si="26"/>
        <v>Berend</v>
      </c>
      <c r="H65" s="2">
        <f t="shared" si="27"/>
        <v>38</v>
      </c>
      <c r="J65" s="8" t="str">
        <f t="shared" si="28"/>
        <v>Berend</v>
      </c>
      <c r="K65" s="8">
        <f t="shared" si="29"/>
        <v>24</v>
      </c>
    </row>
    <row r="66">
      <c r="A66" s="8" t="str">
        <f t="shared" si="21"/>
        <v>Judith</v>
      </c>
      <c r="B66" s="98">
        <f t="shared" si="22"/>
        <v>-1.152</v>
      </c>
      <c r="F66" s="98">
        <f t="shared" si="25"/>
        <v>-1.152</v>
      </c>
      <c r="G66" s="8" t="str">
        <f t="shared" si="26"/>
        <v>Judith</v>
      </c>
      <c r="H66" s="2">
        <f t="shared" si="27"/>
        <v>-12</v>
      </c>
      <c r="J66" s="8" t="str">
        <f t="shared" si="28"/>
        <v>Judith</v>
      </c>
      <c r="K66" s="8">
        <f t="shared" si="29"/>
        <v>-12</v>
      </c>
    </row>
    <row r="67">
      <c r="A67" s="8" t="str">
        <f t="shared" si="21"/>
        <v>Tjeard</v>
      </c>
      <c r="B67" s="98">
        <f t="shared" si="22"/>
        <v>2.829</v>
      </c>
      <c r="F67" s="98">
        <f t="shared" si="25"/>
        <v>5.919959707</v>
      </c>
      <c r="G67" s="8" t="str">
        <f t="shared" si="26"/>
        <v>Tjeard</v>
      </c>
      <c r="H67" s="2">
        <f t="shared" si="27"/>
        <v>7</v>
      </c>
      <c r="J67" s="8" t="str">
        <f t="shared" si="28"/>
        <v>Tjeard</v>
      </c>
      <c r="K67" s="8">
        <f t="shared" si="29"/>
        <v>9</v>
      </c>
    </row>
    <row r="68">
      <c r="A68" s="8" t="str">
        <f t="shared" si="21"/>
        <v>Daniel</v>
      </c>
      <c r="B68" s="98">
        <f t="shared" si="22"/>
        <v>-2.123</v>
      </c>
      <c r="F68" s="98">
        <f t="shared" si="25"/>
        <v>-2.123</v>
      </c>
      <c r="G68" s="8" t="str">
        <f t="shared" si="26"/>
        <v>Daniel</v>
      </c>
      <c r="H68" s="2">
        <f t="shared" si="27"/>
        <v>-13</v>
      </c>
      <c r="J68" s="8" t="str">
        <f t="shared" si="28"/>
        <v>Daniel</v>
      </c>
      <c r="K68" s="8">
        <f t="shared" si="29"/>
        <v>-13</v>
      </c>
    </row>
    <row r="69">
      <c r="A69" s="8" t="str">
        <f t="shared" si="21"/>
        <v>Frank</v>
      </c>
      <c r="B69" s="98">
        <f t="shared" si="22"/>
        <v>-2.12</v>
      </c>
      <c r="F69" s="98">
        <f t="shared" si="25"/>
        <v>-2.12</v>
      </c>
      <c r="G69" s="8" t="str">
        <f t="shared" si="26"/>
        <v>Frank</v>
      </c>
      <c r="H69" s="2">
        <f t="shared" si="27"/>
        <v>-30</v>
      </c>
      <c r="J69" s="8" t="str">
        <f t="shared" si="28"/>
        <v>Frank</v>
      </c>
      <c r="K69" s="8">
        <f t="shared" si="29"/>
        <v>-30</v>
      </c>
    </row>
    <row r="70">
      <c r="A70" s="8" t="str">
        <f t="shared" si="21"/>
        <v>Mittens</v>
      </c>
      <c r="B70" s="98">
        <f t="shared" si="22"/>
        <v>-1.068</v>
      </c>
      <c r="F70" s="98">
        <f t="shared" si="25"/>
        <v>-1.068</v>
      </c>
      <c r="G70" s="8" t="str">
        <f t="shared" si="26"/>
        <v>Mittens</v>
      </c>
      <c r="H70" s="2">
        <f t="shared" si="27"/>
        <v>22</v>
      </c>
      <c r="J70" s="8" t="str">
        <f t="shared" si="28"/>
        <v>Mittens</v>
      </c>
      <c r="K70" s="8">
        <f t="shared" si="29"/>
        <v>22</v>
      </c>
    </row>
  </sheetData>
  <mergeCells count="12">
    <mergeCell ref="D24:F24"/>
    <mergeCell ref="G24:H24"/>
    <mergeCell ref="A37:C37"/>
    <mergeCell ref="N43:P46"/>
    <mergeCell ref="D44:F47"/>
    <mergeCell ref="B1:H1"/>
    <mergeCell ref="J1:P1"/>
    <mergeCell ref="B21:H21"/>
    <mergeCell ref="J21:P21"/>
    <mergeCell ref="K23:L23"/>
    <mergeCell ref="N23:P23"/>
    <mergeCell ref="A24:C24"/>
  </mergeCells>
  <drawing r:id="rId1"/>
</worksheet>
</file>